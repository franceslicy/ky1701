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core" sheetId="1" r:id="rId1"/>
    <sheet name="Chords" sheetId="3" r:id="rId2"/>
    <sheet name="Scales" sheetId="4" r:id="rId3"/>
    <sheet name="Pitch classes" sheetId="5" r:id="rId4"/>
  </sheets>
  <functionGroups/>
  <calcPr calcId="125725"/>
</workbook>
</file>

<file path=xl/calcChain.xml><?xml version="1.0" encoding="utf-8"?>
<calcChain xmlns="http://schemas.openxmlformats.org/spreadsheetml/2006/main">
  <c r="P67" i="1"/>
  <c r="P63"/>
  <c r="P51"/>
  <c r="P8"/>
  <c r="O67"/>
  <c r="O63"/>
  <c r="O51"/>
  <c r="O8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16"/>
  <c r="N15"/>
  <c r="N14"/>
  <c r="N13"/>
  <c r="N12"/>
  <c r="N11"/>
  <c r="N10"/>
  <c r="N9"/>
  <c r="N8"/>
  <c r="N7"/>
  <c r="N6"/>
  <c r="N5"/>
  <c r="N4"/>
  <c r="N3"/>
  <c r="N2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17"/>
  <c r="M16"/>
  <c r="M15"/>
  <c r="M14"/>
  <c r="M13"/>
  <c r="M12"/>
  <c r="M11"/>
  <c r="M10"/>
  <c r="M9"/>
  <c r="M8"/>
  <c r="M7"/>
  <c r="M6"/>
  <c r="M5"/>
  <c r="M4"/>
  <c r="M3"/>
  <c r="M2"/>
  <c r="L107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7"/>
  <c r="L16"/>
  <c r="L15"/>
  <c r="L14"/>
  <c r="L13"/>
  <c r="L12"/>
  <c r="L11"/>
  <c r="L10"/>
  <c r="L9"/>
  <c r="L8"/>
  <c r="L7"/>
  <c r="L6"/>
  <c r="L5"/>
  <c r="L4"/>
  <c r="L3"/>
  <c r="L2"/>
  <c r="K107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7"/>
  <c r="K16"/>
  <c r="K15"/>
  <c r="K14"/>
  <c r="K13"/>
  <c r="K12"/>
  <c r="K11"/>
  <c r="K10"/>
  <c r="K9"/>
  <c r="K8"/>
  <c r="K7"/>
  <c r="K6"/>
  <c r="K5"/>
  <c r="K4"/>
  <c r="K3"/>
  <c r="K2"/>
  <c r="H26"/>
  <c r="H107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5"/>
  <c r="H24"/>
  <c r="H23"/>
  <c r="H22"/>
  <c r="H21"/>
  <c r="H20"/>
  <c r="H17"/>
  <c r="H16"/>
  <c r="H15"/>
  <c r="H14"/>
  <c r="H13"/>
  <c r="H12"/>
  <c r="H11"/>
  <c r="H10"/>
  <c r="H9"/>
  <c r="H8"/>
  <c r="H7"/>
  <c r="H6"/>
  <c r="H5"/>
  <c r="H4"/>
  <c r="H3"/>
  <c r="H2"/>
  <c r="H106"/>
  <c r="H19"/>
  <c r="N17"/>
  <c r="H18"/>
  <c r="G167" i="3"/>
  <c r="F162"/>
  <c r="E157"/>
  <c r="G151"/>
  <c r="F146"/>
  <c r="E141"/>
  <c r="G135"/>
  <c r="F130"/>
  <c r="E125"/>
  <c r="G119"/>
  <c r="F114"/>
  <c r="E109"/>
  <c r="G103"/>
  <c r="F98"/>
  <c r="E93"/>
  <c r="G87"/>
  <c r="F71"/>
  <c r="E50"/>
  <c r="G28"/>
  <c r="F7"/>
  <c r="F65"/>
  <c r="G22"/>
  <c r="F60"/>
  <c r="G17"/>
  <c r="G71"/>
  <c r="F50"/>
  <c r="E29"/>
  <c r="G82"/>
  <c r="F45"/>
  <c r="E4"/>
  <c r="F48"/>
  <c r="G5"/>
  <c r="F160"/>
  <c r="G149"/>
  <c r="E139"/>
  <c r="F128"/>
  <c r="G117"/>
  <c r="G105"/>
  <c r="E95"/>
  <c r="E74"/>
  <c r="F31"/>
  <c r="F69"/>
  <c r="G65"/>
  <c r="F74"/>
  <c r="G31"/>
  <c r="E52"/>
  <c r="E43"/>
  <c r="G166"/>
  <c r="F161"/>
  <c r="E156"/>
  <c r="G150"/>
  <c r="F145"/>
  <c r="E140"/>
  <c r="G134"/>
  <c r="F129"/>
  <c r="E124"/>
  <c r="G118"/>
  <c r="F113"/>
  <c r="E108"/>
  <c r="G102"/>
  <c r="F97"/>
  <c r="E92"/>
  <c r="G86"/>
  <c r="F67"/>
  <c r="E46"/>
  <c r="G24"/>
  <c r="F3"/>
  <c r="F57"/>
  <c r="G14"/>
  <c r="F52"/>
  <c r="G9"/>
  <c r="G67"/>
  <c r="F46"/>
  <c r="E25"/>
  <c r="G78"/>
  <c r="F37"/>
  <c r="G81"/>
  <c r="F40"/>
  <c r="G169"/>
  <c r="E159"/>
  <c r="F148"/>
  <c r="G137"/>
  <c r="E127"/>
  <c r="F116"/>
  <c r="E107"/>
  <c r="F96"/>
  <c r="E87"/>
  <c r="F47"/>
  <c r="G4"/>
  <c r="F17"/>
  <c r="F12"/>
  <c r="G47"/>
  <c r="E80"/>
  <c r="F9"/>
  <c r="E11"/>
  <c r="E150"/>
  <c r="G128"/>
  <c r="F107"/>
  <c r="E86"/>
  <c r="E13"/>
  <c r="F4"/>
  <c r="G74"/>
  <c r="G140"/>
  <c r="G48"/>
  <c r="G27"/>
  <c r="F75"/>
  <c r="F54"/>
  <c r="F159"/>
  <c r="E138"/>
  <c r="G116"/>
  <c r="F95"/>
  <c r="E38"/>
  <c r="F80"/>
  <c r="F38"/>
  <c r="E67"/>
  <c r="G156"/>
  <c r="E130"/>
  <c r="F103"/>
  <c r="F61"/>
  <c r="F81"/>
  <c r="F163"/>
  <c r="E142"/>
  <c r="G120"/>
  <c r="E94"/>
  <c r="E72"/>
  <c r="G7"/>
  <c r="E169"/>
  <c r="G163"/>
  <c r="F158"/>
  <c r="E153"/>
  <c r="G147"/>
  <c r="F142"/>
  <c r="E137"/>
  <c r="G131"/>
  <c r="F126"/>
  <c r="E121"/>
  <c r="G115"/>
  <c r="F110"/>
  <c r="E105"/>
  <c r="G99"/>
  <c r="F94"/>
  <c r="E89"/>
  <c r="G76"/>
  <c r="F55"/>
  <c r="E34"/>
  <c r="G12"/>
  <c r="E76"/>
  <c r="F33"/>
  <c r="E71"/>
  <c r="F28"/>
  <c r="E77"/>
  <c r="G55"/>
  <c r="F34"/>
  <c r="F10"/>
  <c r="E56"/>
  <c r="F13"/>
  <c r="E59"/>
  <c r="F16"/>
  <c r="E163"/>
  <c r="F152"/>
  <c r="G141"/>
  <c r="E131"/>
  <c r="F120"/>
  <c r="F108"/>
  <c r="G97"/>
  <c r="G84"/>
  <c r="E42"/>
  <c r="G11"/>
  <c r="F5"/>
  <c r="E85"/>
  <c r="F42"/>
  <c r="F73"/>
  <c r="F64"/>
  <c r="E168"/>
  <c r="G162"/>
  <c r="F157"/>
  <c r="E152"/>
  <c r="G146"/>
  <c r="F141"/>
  <c r="E136"/>
  <c r="G130"/>
  <c r="F125"/>
  <c r="E120"/>
  <c r="G114"/>
  <c r="F109"/>
  <c r="E104"/>
  <c r="G98"/>
  <c r="F93"/>
  <c r="E88"/>
  <c r="G72"/>
  <c r="F51"/>
  <c r="E30"/>
  <c r="G8"/>
  <c r="G66"/>
  <c r="F25"/>
  <c r="E63"/>
  <c r="F20"/>
  <c r="E73"/>
  <c r="G51"/>
  <c r="F30"/>
  <c r="F85"/>
  <c r="F49"/>
  <c r="G6"/>
  <c r="E51"/>
  <c r="F8"/>
  <c r="G161"/>
  <c r="E151"/>
  <c r="F140"/>
  <c r="G129"/>
  <c r="E119"/>
  <c r="G109"/>
  <c r="E99"/>
  <c r="F88"/>
  <c r="E58"/>
  <c r="F15"/>
  <c r="G38"/>
  <c r="G33"/>
  <c r="F58"/>
  <c r="G15"/>
  <c r="G18"/>
  <c r="F32"/>
  <c r="F155"/>
  <c r="E134"/>
  <c r="G112"/>
  <c r="F91"/>
  <c r="E22"/>
  <c r="E47"/>
  <c r="F22"/>
  <c r="E35"/>
  <c r="F87"/>
  <c r="F70"/>
  <c r="F115"/>
  <c r="G25"/>
  <c r="G164"/>
  <c r="F143"/>
  <c r="E122"/>
  <c r="G100"/>
  <c r="F59"/>
  <c r="F41"/>
  <c r="G59"/>
  <c r="F21"/>
  <c r="E162"/>
  <c r="F135"/>
  <c r="G108"/>
  <c r="F27"/>
  <c r="E49"/>
  <c r="G168"/>
  <c r="F147"/>
  <c r="E126"/>
  <c r="F99"/>
  <c r="G32"/>
  <c r="E33"/>
  <c r="E165"/>
  <c r="F166"/>
  <c r="G159"/>
  <c r="E149"/>
  <c r="F138"/>
  <c r="G127"/>
  <c r="E117"/>
  <c r="F106"/>
  <c r="G95"/>
  <c r="E82"/>
  <c r="F39"/>
  <c r="F6"/>
  <c r="F84"/>
  <c r="F82"/>
  <c r="G39"/>
  <c r="E68"/>
  <c r="G69"/>
  <c r="G165"/>
  <c r="F144"/>
  <c r="E123"/>
  <c r="F100"/>
  <c r="G52"/>
  <c r="E28"/>
  <c r="E53"/>
  <c r="E83"/>
  <c r="E164"/>
  <c r="F153"/>
  <c r="G142"/>
  <c r="E132"/>
  <c r="F121"/>
  <c r="G110"/>
  <c r="E100"/>
  <c r="F89"/>
  <c r="G56"/>
  <c r="E14"/>
  <c r="E36"/>
  <c r="E31"/>
  <c r="E57"/>
  <c r="F14"/>
  <c r="E16"/>
  <c r="E19"/>
  <c r="G153"/>
  <c r="F132"/>
  <c r="F112"/>
  <c r="E91"/>
  <c r="E26"/>
  <c r="E55"/>
  <c r="F26"/>
  <c r="G53"/>
  <c r="F139"/>
  <c r="G96"/>
  <c r="E8"/>
  <c r="G77"/>
  <c r="G57"/>
  <c r="G30"/>
  <c r="G148"/>
  <c r="E106"/>
  <c r="E5"/>
  <c r="E64"/>
  <c r="E146"/>
  <c r="E70"/>
  <c r="G45"/>
  <c r="F131"/>
  <c r="E54"/>
  <c r="G13"/>
  <c r="F18"/>
  <c r="G68"/>
  <c r="E40"/>
  <c r="E118"/>
  <c r="G43"/>
  <c r="E3"/>
  <c r="F127"/>
  <c r="E81"/>
  <c r="E15"/>
  <c r="G104"/>
  <c r="E161"/>
  <c r="F150"/>
  <c r="G139"/>
  <c r="E129"/>
  <c r="F118"/>
  <c r="G107"/>
  <c r="E97"/>
  <c r="F86"/>
  <c r="G44"/>
  <c r="E2"/>
  <c r="E12"/>
  <c r="E7"/>
  <c r="E45"/>
  <c r="F77"/>
  <c r="E79"/>
  <c r="F168"/>
  <c r="E147"/>
  <c r="G125"/>
  <c r="E103"/>
  <c r="F63"/>
  <c r="E48"/>
  <c r="G63"/>
  <c r="F29"/>
  <c r="F165"/>
  <c r="G154"/>
  <c r="E144"/>
  <c r="F133"/>
  <c r="G122"/>
  <c r="E112"/>
  <c r="F101"/>
  <c r="G90"/>
  <c r="E62"/>
  <c r="F19"/>
  <c r="G46"/>
  <c r="G41"/>
  <c r="F62"/>
  <c r="G19"/>
  <c r="G26"/>
  <c r="G29"/>
  <c r="F156"/>
  <c r="E135"/>
  <c r="E115"/>
  <c r="G93"/>
  <c r="G36"/>
  <c r="F76"/>
  <c r="E37"/>
  <c r="E75"/>
  <c r="G144"/>
  <c r="E102"/>
  <c r="G50"/>
  <c r="E32"/>
  <c r="E6"/>
  <c r="F11"/>
  <c r="E154"/>
  <c r="F111"/>
  <c r="G16"/>
  <c r="E17"/>
  <c r="F151"/>
  <c r="G92"/>
  <c r="G85"/>
  <c r="G136"/>
  <c r="G88"/>
  <c r="G10"/>
  <c r="F154"/>
  <c r="G143"/>
  <c r="E133"/>
  <c r="F122"/>
  <c r="G111"/>
  <c r="E101"/>
  <c r="F90"/>
  <c r="G60"/>
  <c r="E18"/>
  <c r="E44"/>
  <c r="E39"/>
  <c r="E61"/>
  <c r="E24"/>
  <c r="E27"/>
  <c r="E155"/>
  <c r="G133"/>
  <c r="E111"/>
  <c r="G89"/>
  <c r="E10"/>
  <c r="E23"/>
  <c r="G3"/>
  <c r="F169"/>
  <c r="G158"/>
  <c r="E148"/>
  <c r="F137"/>
  <c r="G126"/>
  <c r="E116"/>
  <c r="F105"/>
  <c r="G94"/>
  <c r="E78"/>
  <c r="F35"/>
  <c r="E84"/>
  <c r="G73"/>
  <c r="F78"/>
  <c r="G35"/>
  <c r="E60"/>
  <c r="G61"/>
  <c r="F164"/>
  <c r="E143"/>
  <c r="G121"/>
  <c r="G101"/>
  <c r="G58"/>
  <c r="E69"/>
  <c r="G160"/>
  <c r="F43"/>
  <c r="E98"/>
  <c r="F56"/>
  <c r="G80"/>
  <c r="F167"/>
  <c r="F119"/>
  <c r="G152"/>
  <c r="G75"/>
  <c r="E145"/>
  <c r="F102"/>
  <c r="G54"/>
  <c r="G34"/>
  <c r="G113"/>
  <c r="E21"/>
  <c r="G138"/>
  <c r="E96"/>
  <c r="G2"/>
  <c r="F72"/>
  <c r="F104"/>
  <c r="G62"/>
  <c r="E65"/>
  <c r="G132"/>
  <c r="G124"/>
  <c r="F68"/>
  <c r="E113"/>
  <c r="F23"/>
  <c r="F136"/>
  <c r="F149"/>
  <c r="E9"/>
  <c r="F124"/>
  <c r="G64"/>
  <c r="F24"/>
  <c r="G157"/>
  <c r="F117"/>
  <c r="E41"/>
  <c r="F2"/>
  <c r="F36"/>
  <c r="F134"/>
  <c r="G91"/>
  <c r="G49"/>
  <c r="G37"/>
  <c r="F92"/>
  <c r="G21"/>
  <c r="E128"/>
  <c r="F83"/>
  <c r="G83"/>
  <c r="E167"/>
  <c r="F79"/>
  <c r="E166"/>
  <c r="E114"/>
  <c r="E90"/>
  <c r="E20"/>
  <c r="G155"/>
  <c r="G23"/>
  <c r="F44"/>
  <c r="G106"/>
  <c r="G70"/>
  <c r="G79"/>
  <c r="F53"/>
  <c r="E110"/>
  <c r="G123"/>
  <c r="E66"/>
  <c r="F66"/>
  <c r="G20"/>
  <c r="E160"/>
  <c r="G40"/>
  <c r="G145"/>
  <c r="F123"/>
  <c r="G42"/>
  <c r="E158"/>
  <c r="J42"/>
  <c r="J145"/>
  <c r="L160"/>
  <c r="I66"/>
  <c r="J123"/>
  <c r="I53"/>
  <c r="J70"/>
  <c r="M44"/>
  <c r="N155"/>
  <c r="L90"/>
  <c r="L166"/>
  <c r="H167"/>
  <c r="I83"/>
  <c r="N21"/>
  <c r="N37"/>
  <c r="J91"/>
  <c r="M36"/>
  <c r="L41"/>
  <c r="J157"/>
  <c r="J64"/>
  <c r="L9"/>
  <c r="I136"/>
  <c r="H113"/>
  <c r="N124"/>
  <c r="L65"/>
  <c r="I104"/>
  <c r="J2"/>
  <c r="N138"/>
  <c r="J113"/>
  <c r="J54"/>
  <c r="H145"/>
  <c r="J152"/>
  <c r="I167"/>
  <c r="I56"/>
  <c r="M43"/>
  <c r="L69"/>
  <c r="N101"/>
  <c r="L143"/>
  <c r="J61"/>
  <c r="J35"/>
  <c r="J73"/>
  <c r="M35"/>
  <c r="J94"/>
  <c r="H116"/>
  <c r="I137"/>
  <c r="J158"/>
  <c r="J3"/>
  <c r="H10"/>
  <c r="L111"/>
  <c r="L155"/>
  <c r="L24"/>
  <c r="L39"/>
  <c r="L18"/>
  <c r="I90"/>
  <c r="N111"/>
  <c r="H133"/>
  <c r="I154"/>
  <c r="J88"/>
  <c r="J85"/>
  <c r="I151"/>
  <c r="N16"/>
  <c r="H154"/>
  <c r="H6"/>
  <c r="N50"/>
  <c r="J144"/>
  <c r="H37"/>
  <c r="N36"/>
  <c r="L115"/>
  <c r="M156"/>
  <c r="N26"/>
  <c r="I62"/>
  <c r="N46"/>
  <c r="L62"/>
  <c r="I101"/>
  <c r="J122"/>
  <c r="H144"/>
  <c r="I165"/>
  <c r="J63"/>
  <c r="M63"/>
  <c r="N125"/>
  <c r="M168"/>
  <c r="M77"/>
  <c r="L7"/>
  <c r="H2"/>
  <c r="M86"/>
  <c r="N107"/>
  <c r="L129"/>
  <c r="M150"/>
  <c r="J104"/>
  <c r="H81"/>
  <c r="L3"/>
  <c r="H118"/>
  <c r="J68"/>
  <c r="J13"/>
  <c r="M131"/>
  <c r="H70"/>
  <c r="H64"/>
  <c r="L106"/>
  <c r="J30"/>
  <c r="N77"/>
  <c r="N96"/>
  <c r="N53"/>
  <c r="L55"/>
  <c r="H91"/>
  <c r="I132"/>
  <c r="L19"/>
  <c r="I14"/>
  <c r="L31"/>
  <c r="L14"/>
  <c r="M89"/>
  <c r="N110"/>
  <c r="L132"/>
  <c r="M153"/>
  <c r="L83"/>
  <c r="H28"/>
  <c r="I100"/>
  <c r="I144"/>
  <c r="N69"/>
  <c r="N39"/>
  <c r="M84"/>
  <c r="I39"/>
  <c r="J95"/>
  <c r="H117"/>
  <c r="I138"/>
  <c r="J159"/>
  <c r="L165"/>
  <c r="N32"/>
  <c r="H126"/>
  <c r="N168"/>
  <c r="M27"/>
  <c r="M135"/>
  <c r="M21"/>
  <c r="I41"/>
  <c r="J100"/>
  <c r="M143"/>
  <c r="J25"/>
  <c r="M70"/>
  <c r="H35"/>
  <c r="L47"/>
  <c r="I91"/>
  <c r="L134"/>
  <c r="I32"/>
  <c r="J15"/>
  <c r="J33"/>
  <c r="M15"/>
  <c r="M88"/>
  <c r="J109"/>
  <c r="N129"/>
  <c r="H151"/>
  <c r="M8"/>
  <c r="J6"/>
  <c r="M85"/>
  <c r="N51"/>
  <c r="I20"/>
  <c r="I25"/>
  <c r="J8"/>
  <c r="I51"/>
  <c r="H88"/>
  <c r="N98"/>
  <c r="I109"/>
  <c r="L120"/>
  <c r="J130"/>
  <c r="M141"/>
  <c r="H152"/>
  <c r="N162"/>
  <c r="I64"/>
  <c r="M42"/>
  <c r="I5"/>
  <c r="H42"/>
  <c r="N97"/>
  <c r="I120"/>
  <c r="N141"/>
  <c r="H163"/>
  <c r="H59"/>
  <c r="H56"/>
  <c r="I34"/>
  <c r="L77"/>
  <c r="H71"/>
  <c r="H76"/>
  <c r="L34"/>
  <c r="J76"/>
  <c r="M94"/>
  <c r="H105"/>
  <c r="N115"/>
  <c r="I126"/>
  <c r="L137"/>
  <c r="J147"/>
  <c r="M158"/>
  <c r="H169"/>
  <c r="L72"/>
  <c r="N120"/>
  <c r="M163"/>
  <c r="I61"/>
  <c r="L130"/>
  <c r="L67"/>
  <c r="I80"/>
  <c r="M95"/>
  <c r="H138"/>
  <c r="M54"/>
  <c r="J27"/>
  <c r="N140"/>
  <c r="M4"/>
  <c r="H86"/>
  <c r="N128"/>
  <c r="H11"/>
  <c r="H80"/>
  <c r="I12"/>
  <c r="J4"/>
  <c r="H87"/>
  <c r="H107"/>
  <c r="H127"/>
  <c r="M148"/>
  <c r="J169"/>
  <c r="N81"/>
  <c r="J78"/>
  <c r="I46"/>
  <c r="J9"/>
  <c r="J14"/>
  <c r="M3"/>
  <c r="L46"/>
  <c r="J86"/>
  <c r="M97"/>
  <c r="L108"/>
  <c r="J118"/>
  <c r="M129"/>
  <c r="L140"/>
  <c r="N150"/>
  <c r="I161"/>
  <c r="L43"/>
  <c r="N31"/>
  <c r="N65"/>
  <c r="M31"/>
  <c r="H95"/>
  <c r="J117"/>
  <c r="H139"/>
  <c r="M160"/>
  <c r="M48"/>
  <c r="I45"/>
  <c r="H29"/>
  <c r="N71"/>
  <c r="M60"/>
  <c r="I65"/>
  <c r="N28"/>
  <c r="I71"/>
  <c r="H93"/>
  <c r="J103"/>
  <c r="M114"/>
  <c r="H125"/>
  <c r="J135"/>
  <c r="I146"/>
  <c r="L157"/>
  <c r="J167"/>
  <c r="N42"/>
  <c r="N145"/>
  <c r="H160"/>
  <c r="M66"/>
  <c r="N123"/>
  <c r="M53"/>
  <c r="N70"/>
  <c r="I44"/>
  <c r="J155"/>
  <c r="H90"/>
  <c r="H166"/>
  <c r="L167"/>
  <c r="M83"/>
  <c r="J21"/>
  <c r="J37"/>
  <c r="N91"/>
  <c r="I36"/>
  <c r="H41"/>
  <c r="N157"/>
  <c r="N64"/>
  <c r="H9"/>
  <c r="M136"/>
  <c r="L113"/>
  <c r="J124"/>
  <c r="H65"/>
  <c r="M104"/>
  <c r="N2"/>
  <c r="J138"/>
  <c r="N113"/>
  <c r="N54"/>
  <c r="L145"/>
  <c r="N152"/>
  <c r="M167"/>
  <c r="M56"/>
  <c r="I43"/>
  <c r="H69"/>
  <c r="J101"/>
  <c r="H143"/>
  <c r="N61"/>
  <c r="N35"/>
  <c r="N73"/>
  <c r="I35"/>
  <c r="N94"/>
  <c r="L116"/>
  <c r="M137"/>
  <c r="N158"/>
  <c r="N3"/>
  <c r="L10"/>
  <c r="H111"/>
  <c r="H155"/>
  <c r="H24"/>
  <c r="H39"/>
  <c r="H18"/>
  <c r="M90"/>
  <c r="J111"/>
  <c r="L133"/>
  <c r="M154"/>
  <c r="N88"/>
  <c r="N85"/>
  <c r="M151"/>
  <c r="J16"/>
  <c r="L154"/>
  <c r="L6"/>
  <c r="J50"/>
  <c r="N144"/>
  <c r="L37"/>
  <c r="J36"/>
  <c r="H115"/>
  <c r="I156"/>
  <c r="J26"/>
  <c r="M62"/>
  <c r="J46"/>
  <c r="H62"/>
  <c r="M101"/>
  <c r="N122"/>
  <c r="L144"/>
  <c r="M165"/>
  <c r="N63"/>
  <c r="I63"/>
  <c r="J125"/>
  <c r="I168"/>
  <c r="I77"/>
  <c r="H7"/>
  <c r="L2"/>
  <c r="I86"/>
  <c r="J107"/>
  <c r="H129"/>
  <c r="I150"/>
  <c r="N104"/>
  <c r="L81"/>
  <c r="H3"/>
  <c r="L118"/>
  <c r="N68"/>
  <c r="N13"/>
  <c r="I131"/>
  <c r="L70"/>
  <c r="L64"/>
  <c r="H106"/>
  <c r="N30"/>
  <c r="J77"/>
  <c r="J96"/>
  <c r="J53"/>
  <c r="H55"/>
  <c r="L91"/>
  <c r="M132"/>
  <c r="H19"/>
  <c r="M14"/>
  <c r="H31"/>
  <c r="H14"/>
  <c r="I89"/>
  <c r="J110"/>
  <c r="H132"/>
  <c r="I153"/>
  <c r="H83"/>
  <c r="L28"/>
  <c r="M100"/>
  <c r="M144"/>
  <c r="J69"/>
  <c r="J39"/>
  <c r="I84"/>
  <c r="M39"/>
  <c r="N95"/>
  <c r="L117"/>
  <c r="M138"/>
  <c r="N159"/>
  <c r="H165"/>
  <c r="J32"/>
  <c r="L126"/>
  <c r="J168"/>
  <c r="I27"/>
  <c r="I135"/>
  <c r="I21"/>
  <c r="M41"/>
  <c r="N100"/>
  <c r="I143"/>
  <c r="N25"/>
  <c r="I70"/>
  <c r="L35"/>
  <c r="H47"/>
  <c r="M91"/>
  <c r="H134"/>
  <c r="M32"/>
  <c r="N15"/>
  <c r="N33"/>
  <c r="I15"/>
  <c r="I88"/>
  <c r="N109"/>
  <c r="J129"/>
  <c r="L151"/>
  <c r="I8"/>
  <c r="N6"/>
  <c r="I85"/>
  <c r="J51"/>
  <c r="M20"/>
  <c r="M25"/>
  <c r="N8"/>
  <c r="M51"/>
  <c r="L88"/>
  <c r="J98"/>
  <c r="M109"/>
  <c r="H120"/>
  <c r="N130"/>
  <c r="I141"/>
  <c r="L152"/>
  <c r="J162"/>
  <c r="M64"/>
  <c r="I42"/>
  <c r="M5"/>
  <c r="L42"/>
  <c r="J97"/>
  <c r="M120"/>
  <c r="J141"/>
  <c r="L163"/>
  <c r="L59"/>
  <c r="L56"/>
  <c r="M34"/>
  <c r="H77"/>
  <c r="L71"/>
  <c r="L76"/>
  <c r="H34"/>
  <c r="N76"/>
  <c r="I94"/>
  <c r="L105"/>
  <c r="J115"/>
  <c r="M126"/>
  <c r="H137"/>
  <c r="N147"/>
  <c r="I158"/>
  <c r="L169"/>
  <c r="H72"/>
  <c r="J120"/>
  <c r="I163"/>
  <c r="M61"/>
  <c r="H130"/>
  <c r="H67"/>
  <c r="M80"/>
  <c r="I95"/>
  <c r="L138"/>
  <c r="I54"/>
  <c r="N27"/>
  <c r="J140"/>
  <c r="I4"/>
  <c r="L86"/>
  <c r="J128"/>
  <c r="L11"/>
  <c r="L80"/>
  <c r="M12"/>
  <c r="N4"/>
  <c r="L87"/>
  <c r="L107"/>
  <c r="L127"/>
  <c r="I148"/>
  <c r="N169"/>
  <c r="J81"/>
  <c r="N78"/>
  <c r="M46"/>
  <c r="N9"/>
  <c r="N14"/>
  <c r="I3"/>
  <c r="H46"/>
  <c r="N86"/>
  <c r="I97"/>
  <c r="H108"/>
  <c r="N118"/>
  <c r="I129"/>
  <c r="H140"/>
  <c r="J150"/>
  <c r="M161"/>
  <c r="H43"/>
  <c r="J31"/>
  <c r="J65"/>
  <c r="I31"/>
  <c r="L95"/>
  <c r="N117"/>
  <c r="L139"/>
  <c r="I160"/>
  <c r="I48"/>
  <c r="M45"/>
  <c r="L29"/>
  <c r="J71"/>
  <c r="I60"/>
  <c r="M65"/>
  <c r="J28"/>
  <c r="M71"/>
  <c r="L93"/>
  <c r="N103"/>
  <c r="I114"/>
  <c r="L125"/>
  <c r="N135"/>
  <c r="M146"/>
  <c r="H157"/>
  <c r="N167"/>
  <c r="H158"/>
  <c r="M123"/>
  <c r="J40"/>
  <c r="J20"/>
  <c r="H66"/>
  <c r="L110"/>
  <c r="N79"/>
  <c r="N106"/>
  <c r="N23"/>
  <c r="L20"/>
  <c r="H114"/>
  <c r="M79"/>
  <c r="J83"/>
  <c r="H128"/>
  <c r="M92"/>
  <c r="J49"/>
  <c r="I134"/>
  <c r="M2"/>
  <c r="I117"/>
  <c r="M24"/>
  <c r="I124"/>
  <c r="M149"/>
  <c r="M23"/>
  <c r="M68"/>
  <c r="N132"/>
  <c r="J62"/>
  <c r="M72"/>
  <c r="L96"/>
  <c r="L21"/>
  <c r="J34"/>
  <c r="I102"/>
  <c r="J75"/>
  <c r="I119"/>
  <c r="J80"/>
  <c r="L98"/>
  <c r="N160"/>
  <c r="N58"/>
  <c r="N121"/>
  <c r="I164"/>
  <c r="L60"/>
  <c r="M78"/>
  <c r="H84"/>
  <c r="H78"/>
  <c r="M105"/>
  <c r="N126"/>
  <c r="H148"/>
  <c r="M169"/>
  <c r="H23"/>
  <c r="J89"/>
  <c r="N133"/>
  <c r="L27"/>
  <c r="H61"/>
  <c r="L44"/>
  <c r="N60"/>
  <c r="L101"/>
  <c r="M122"/>
  <c r="N143"/>
  <c r="J10"/>
  <c r="N136"/>
  <c r="J92"/>
  <c r="L17"/>
  <c r="I111"/>
  <c r="M11"/>
  <c r="L32"/>
  <c r="L102"/>
  <c r="H75"/>
  <c r="M76"/>
  <c r="N93"/>
  <c r="H135"/>
  <c r="J29"/>
  <c r="N19"/>
  <c r="J41"/>
  <c r="I19"/>
  <c r="J90"/>
  <c r="L112"/>
  <c r="I133"/>
  <c r="N154"/>
  <c r="M29"/>
  <c r="H48"/>
  <c r="L103"/>
  <c r="H147"/>
  <c r="H79"/>
  <c r="L45"/>
  <c r="L12"/>
  <c r="J44"/>
  <c r="L97"/>
  <c r="M118"/>
  <c r="J139"/>
  <c r="L161"/>
  <c r="H15"/>
  <c r="I127"/>
  <c r="J43"/>
  <c r="L40"/>
  <c r="M18"/>
  <c r="H54"/>
  <c r="N45"/>
  <c r="L146"/>
  <c r="L5"/>
  <c r="N148"/>
  <c r="N57"/>
  <c r="L8"/>
  <c r="M139"/>
  <c r="M26"/>
  <c r="H26"/>
  <c r="I112"/>
  <c r="J153"/>
  <c r="H16"/>
  <c r="L57"/>
  <c r="H36"/>
  <c r="J56"/>
  <c r="L100"/>
  <c r="M121"/>
  <c r="N142"/>
  <c r="L164"/>
  <c r="L53"/>
  <c r="J52"/>
  <c r="H123"/>
  <c r="J165"/>
  <c r="H68"/>
  <c r="M82"/>
  <c r="M6"/>
  <c r="H82"/>
  <c r="I106"/>
  <c r="J127"/>
  <c r="H149"/>
  <c r="M166"/>
  <c r="H33"/>
  <c r="I99"/>
  <c r="I147"/>
  <c r="H49"/>
  <c r="J108"/>
  <c r="H162"/>
  <c r="J59"/>
  <c r="M59"/>
  <c r="H122"/>
  <c r="J164"/>
  <c r="I115"/>
  <c r="I87"/>
  <c r="I22"/>
  <c r="L22"/>
  <c r="J112"/>
  <c r="I155"/>
  <c r="N18"/>
  <c r="I58"/>
  <c r="N38"/>
  <c r="L58"/>
  <c r="L99"/>
  <c r="L119"/>
  <c r="M140"/>
  <c r="N161"/>
  <c r="H51"/>
  <c r="M49"/>
  <c r="I30"/>
  <c r="H73"/>
  <c r="H63"/>
  <c r="N66"/>
  <c r="L30"/>
  <c r="N72"/>
  <c r="I93"/>
  <c r="H104"/>
  <c r="J114"/>
  <c r="I125"/>
  <c r="H136"/>
  <c r="J146"/>
  <c r="I157"/>
  <c r="H168"/>
  <c r="M73"/>
  <c r="H85"/>
  <c r="J11"/>
  <c r="N84"/>
  <c r="M108"/>
  <c r="L131"/>
  <c r="M152"/>
  <c r="I16"/>
  <c r="M13"/>
  <c r="M10"/>
  <c r="J55"/>
  <c r="I28"/>
  <c r="M33"/>
  <c r="J12"/>
  <c r="M55"/>
  <c r="L89"/>
  <c r="N99"/>
  <c r="M110"/>
  <c r="L121"/>
  <c r="N131"/>
  <c r="M142"/>
  <c r="L153"/>
  <c r="N163"/>
  <c r="N7"/>
  <c r="H94"/>
  <c r="H142"/>
  <c r="M81"/>
  <c r="I103"/>
  <c r="N156"/>
  <c r="I38"/>
  <c r="L38"/>
  <c r="J116"/>
  <c r="I159"/>
  <c r="M75"/>
  <c r="N48"/>
  <c r="N74"/>
  <c r="L13"/>
  <c r="I107"/>
  <c r="H150"/>
  <c r="M9"/>
  <c r="J47"/>
  <c r="M17"/>
  <c r="M47"/>
  <c r="M96"/>
  <c r="M116"/>
  <c r="N137"/>
  <c r="L159"/>
  <c r="I40"/>
  <c r="M37"/>
  <c r="H25"/>
  <c r="J67"/>
  <c r="M52"/>
  <c r="M57"/>
  <c r="N24"/>
  <c r="M67"/>
  <c r="H92"/>
  <c r="J102"/>
  <c r="I113"/>
  <c r="L124"/>
  <c r="N134"/>
  <c r="I145"/>
  <c r="H156"/>
  <c r="J166"/>
  <c r="L52"/>
  <c r="I74"/>
  <c r="M69"/>
  <c r="L74"/>
  <c r="J105"/>
  <c r="M128"/>
  <c r="N149"/>
  <c r="N5"/>
  <c r="H4"/>
  <c r="N82"/>
  <c r="I50"/>
  <c r="J17"/>
  <c r="J22"/>
  <c r="I7"/>
  <c r="L50"/>
  <c r="N87"/>
  <c r="I98"/>
  <c r="L109"/>
  <c r="N119"/>
  <c r="M130"/>
  <c r="H141"/>
  <c r="N151"/>
  <c r="M162"/>
  <c r="I123"/>
  <c r="N40"/>
  <c r="N20"/>
  <c r="L66"/>
  <c r="J106"/>
  <c r="I79"/>
  <c r="N49"/>
  <c r="I24"/>
  <c r="I68"/>
  <c r="H96"/>
  <c r="N75"/>
  <c r="J160"/>
  <c r="H60"/>
  <c r="I105"/>
  <c r="L23"/>
  <c r="L61"/>
  <c r="I122"/>
  <c r="N92"/>
  <c r="H32"/>
  <c r="J93"/>
  <c r="N41"/>
  <c r="M133"/>
  <c r="H103"/>
  <c r="H12"/>
  <c r="N139"/>
  <c r="N43"/>
  <c r="J45"/>
  <c r="J57"/>
  <c r="L26"/>
  <c r="H57"/>
  <c r="I121"/>
  <c r="N52"/>
  <c r="I82"/>
  <c r="N127"/>
  <c r="M99"/>
  <c r="L162"/>
  <c r="N164"/>
  <c r="H22"/>
  <c r="M58"/>
  <c r="H119"/>
  <c r="I49"/>
  <c r="J66"/>
  <c r="L104"/>
  <c r="N146"/>
  <c r="L85"/>
  <c r="H131"/>
  <c r="I10"/>
  <c r="N12"/>
  <c r="I110"/>
  <c r="H153"/>
  <c r="L142"/>
  <c r="M38"/>
  <c r="I75"/>
  <c r="M107"/>
  <c r="I17"/>
  <c r="J137"/>
  <c r="L25"/>
  <c r="J24"/>
  <c r="M113"/>
  <c r="L156"/>
  <c r="I69"/>
  <c r="J149"/>
  <c r="M50"/>
  <c r="H50"/>
  <c r="J119"/>
  <c r="L114"/>
  <c r="I92"/>
  <c r="M117"/>
  <c r="I23"/>
  <c r="I72"/>
  <c r="M102"/>
  <c r="H98"/>
  <c r="L78"/>
  <c r="H27"/>
  <c r="J136"/>
  <c r="I76"/>
  <c r="H112"/>
  <c r="H45"/>
  <c r="M127"/>
  <c r="J148"/>
  <c r="L16"/>
  <c r="H53"/>
  <c r="M106"/>
  <c r="N108"/>
  <c r="M22"/>
  <c r="H99"/>
  <c r="L63"/>
  <c r="L136"/>
  <c r="I108"/>
  <c r="I33"/>
  <c r="I142"/>
  <c r="J156"/>
  <c r="N47"/>
  <c r="I37"/>
  <c r="N102"/>
  <c r="M74"/>
  <c r="J82"/>
  <c r="H109"/>
  <c r="H20"/>
  <c r="N80"/>
  <c r="L84"/>
  <c r="J133"/>
  <c r="N10"/>
  <c r="L75"/>
  <c r="N90"/>
  <c r="L79"/>
  <c r="L15"/>
  <c r="H5"/>
  <c r="N153"/>
  <c r="H164"/>
  <c r="L82"/>
  <c r="L49"/>
  <c r="M87"/>
  <c r="J161"/>
  <c r="J72"/>
  <c r="L168"/>
  <c r="M16"/>
  <c r="H89"/>
  <c r="J7"/>
  <c r="N116"/>
  <c r="I9"/>
  <c r="M40"/>
  <c r="L92"/>
  <c r="H52"/>
  <c r="N22"/>
  <c r="L141"/>
  <c r="L158"/>
  <c r="J23"/>
  <c r="N83"/>
  <c r="M134"/>
  <c r="M124"/>
  <c r="J132"/>
  <c r="H21"/>
  <c r="M119"/>
  <c r="J58"/>
  <c r="I78"/>
  <c r="J126"/>
  <c r="N89"/>
  <c r="H44"/>
  <c r="J143"/>
  <c r="H17"/>
  <c r="H102"/>
  <c r="L135"/>
  <c r="M19"/>
  <c r="J154"/>
  <c r="L147"/>
  <c r="N44"/>
  <c r="H161"/>
  <c r="H40"/>
  <c r="H146"/>
  <c r="H8"/>
  <c r="M112"/>
  <c r="L36"/>
  <c r="J142"/>
  <c r="L123"/>
  <c r="I6"/>
  <c r="L149"/>
  <c r="M147"/>
  <c r="N59"/>
  <c r="M115"/>
  <c r="N112"/>
  <c r="J38"/>
  <c r="I140"/>
  <c r="M30"/>
  <c r="H30"/>
  <c r="N114"/>
  <c r="M157"/>
  <c r="N11"/>
  <c r="I152"/>
  <c r="N55"/>
  <c r="I55"/>
  <c r="H121"/>
  <c r="J163"/>
  <c r="I81"/>
  <c r="H38"/>
  <c r="J48"/>
  <c r="L150"/>
  <c r="I47"/>
  <c r="H159"/>
  <c r="N67"/>
  <c r="I67"/>
  <c r="H124"/>
  <c r="N166"/>
  <c r="H74"/>
  <c r="J5"/>
  <c r="N17"/>
  <c r="J87"/>
  <c r="I130"/>
  <c r="I162"/>
  <c r="J79"/>
  <c r="M164"/>
  <c r="I169"/>
  <c r="H101"/>
  <c r="I11"/>
  <c r="J19"/>
  <c r="L48"/>
  <c r="I118"/>
  <c r="L54"/>
  <c r="I26"/>
  <c r="H100"/>
  <c r="L68"/>
  <c r="L33"/>
  <c r="L122"/>
  <c r="J18"/>
  <c r="L51"/>
  <c r="M93"/>
  <c r="I73"/>
  <c r="I13"/>
  <c r="J99"/>
  <c r="L94"/>
  <c r="M159"/>
  <c r="H13"/>
  <c r="I116"/>
  <c r="I57"/>
  <c r="M145"/>
  <c r="I128"/>
  <c r="M7"/>
  <c r="J151"/>
  <c r="H110"/>
  <c r="L128"/>
  <c r="I2"/>
  <c r="I149"/>
  <c r="N62"/>
  <c r="N34"/>
  <c r="J121"/>
  <c r="L148"/>
  <c r="J60"/>
  <c r="M111"/>
  <c r="N29"/>
  <c r="I29"/>
  <c r="H97"/>
  <c r="I18"/>
  <c r="I139"/>
  <c r="N56"/>
  <c r="N165"/>
  <c r="I166"/>
  <c r="I59"/>
  <c r="M155"/>
  <c r="H58"/>
  <c r="L73"/>
  <c r="M125"/>
  <c r="J84"/>
  <c r="M28"/>
  <c r="J131"/>
  <c r="M103"/>
  <c r="J74"/>
  <c r="I96"/>
  <c r="I52"/>
  <c r="J134"/>
  <c r="N105"/>
  <c r="L4"/>
  <c r="M98"/>
  <c r="K97"/>
  <c r="K58"/>
  <c r="K110"/>
  <c r="O122"/>
  <c r="O54"/>
  <c r="K124"/>
  <c r="K121"/>
  <c r="O36"/>
  <c r="K161"/>
  <c r="K17"/>
  <c r="O141"/>
  <c r="O168"/>
  <c r="K5"/>
  <c r="O84"/>
  <c r="O63"/>
  <c r="K45"/>
  <c r="K98"/>
  <c r="O25"/>
  <c r="O85"/>
  <c r="O162"/>
  <c r="K103"/>
  <c r="K60"/>
  <c r="O109"/>
  <c r="O52"/>
  <c r="K25"/>
  <c r="O38"/>
  <c r="O121"/>
  <c r="K168"/>
  <c r="K63"/>
  <c r="O99"/>
  <c r="K162"/>
  <c r="K82"/>
  <c r="O164"/>
  <c r="K16"/>
  <c r="O146"/>
  <c r="O161"/>
  <c r="K79"/>
  <c r="O112"/>
  <c r="O32"/>
  <c r="K61"/>
  <c r="K78"/>
  <c r="O21"/>
  <c r="O20"/>
  <c r="K157"/>
  <c r="O139"/>
  <c r="K108"/>
  <c r="O87"/>
  <c r="O138"/>
  <c r="O169"/>
  <c r="O76"/>
  <c r="O59"/>
  <c r="K120"/>
  <c r="K47"/>
  <c r="O117"/>
  <c r="K14"/>
  <c r="K55"/>
  <c r="O118"/>
  <c r="O2"/>
  <c r="K115"/>
  <c r="O133"/>
  <c r="K155"/>
  <c r="K143"/>
  <c r="O113"/>
  <c r="K166"/>
  <c r="K125"/>
  <c r="K95"/>
  <c r="O46"/>
  <c r="K80"/>
  <c r="O67"/>
  <c r="O137"/>
  <c r="K71"/>
  <c r="K163"/>
  <c r="K88"/>
  <c r="K35"/>
  <c r="K28"/>
  <c r="O31"/>
  <c r="O106"/>
  <c r="O3"/>
  <c r="O7"/>
  <c r="K37"/>
  <c r="O18"/>
  <c r="O111"/>
  <c r="O69"/>
  <c r="O9"/>
  <c r="O90"/>
  <c r="O73"/>
  <c r="O128"/>
  <c r="O51"/>
  <c r="K100"/>
  <c r="K74"/>
  <c r="K38"/>
  <c r="O123"/>
  <c r="K40"/>
  <c r="K102"/>
  <c r="O158"/>
  <c r="K89"/>
  <c r="K164"/>
  <c r="O75"/>
  <c r="O136"/>
  <c r="O16"/>
  <c r="O78"/>
  <c r="O156"/>
  <c r="K131"/>
  <c r="K22"/>
  <c r="K12"/>
  <c r="O23"/>
  <c r="K141"/>
  <c r="O74"/>
  <c r="K92"/>
  <c r="O13"/>
  <c r="O153"/>
  <c r="K85"/>
  <c r="O30"/>
  <c r="O119"/>
  <c r="K122"/>
  <c r="K149"/>
  <c r="O53"/>
  <c r="O57"/>
  <c r="O5"/>
  <c r="K15"/>
  <c r="O45"/>
  <c r="K48"/>
  <c r="O102"/>
  <c r="O44"/>
  <c r="K148"/>
  <c r="O98"/>
  <c r="K114"/>
  <c r="K158"/>
  <c r="O29"/>
  <c r="K140"/>
  <c r="O107"/>
  <c r="O86"/>
  <c r="K72"/>
  <c r="K34"/>
  <c r="O56"/>
  <c r="O152"/>
  <c r="K134"/>
  <c r="K165"/>
  <c r="K132"/>
  <c r="O91"/>
  <c r="O70"/>
  <c r="K129"/>
  <c r="K62"/>
  <c r="O154"/>
  <c r="K24"/>
  <c r="O116"/>
  <c r="K65"/>
  <c r="O167"/>
  <c r="O157"/>
  <c r="K139"/>
  <c r="O108"/>
  <c r="K87"/>
  <c r="K138"/>
  <c r="K169"/>
  <c r="K76"/>
  <c r="K59"/>
  <c r="O120"/>
  <c r="O47"/>
  <c r="K117"/>
  <c r="O14"/>
  <c r="O55"/>
  <c r="K118"/>
  <c r="K2"/>
  <c r="O115"/>
  <c r="K133"/>
  <c r="O155"/>
  <c r="O143"/>
  <c r="K113"/>
  <c r="O166"/>
  <c r="K52"/>
  <c r="O49"/>
  <c r="O15"/>
  <c r="K20"/>
  <c r="K99"/>
  <c r="K112"/>
  <c r="O114"/>
  <c r="O142"/>
  <c r="O104"/>
  <c r="K57"/>
  <c r="K32"/>
  <c r="K96"/>
  <c r="O50"/>
  <c r="K156"/>
  <c r="O159"/>
  <c r="K142"/>
  <c r="O89"/>
  <c r="K136"/>
  <c r="K73"/>
  <c r="O58"/>
  <c r="K49"/>
  <c r="K68"/>
  <c r="O100"/>
  <c r="K26"/>
  <c r="K54"/>
  <c r="O97"/>
  <c r="K147"/>
  <c r="K135"/>
  <c r="O17"/>
  <c r="O27"/>
  <c r="K84"/>
  <c r="O96"/>
  <c r="O110"/>
  <c r="O125"/>
  <c r="O95"/>
  <c r="K46"/>
  <c r="O80"/>
  <c r="K67"/>
  <c r="K137"/>
  <c r="O71"/>
  <c r="O163"/>
  <c r="O88"/>
  <c r="O35"/>
  <c r="O28"/>
  <c r="K31"/>
  <c r="K106"/>
  <c r="K3"/>
  <c r="K7"/>
  <c r="O37"/>
  <c r="K18"/>
  <c r="K111"/>
  <c r="K69"/>
  <c r="K9"/>
  <c r="K90"/>
  <c r="K93"/>
  <c r="O43"/>
  <c r="K127"/>
  <c r="K11"/>
  <c r="O130"/>
  <c r="K105"/>
  <c r="O77"/>
  <c r="K42"/>
  <c r="K151"/>
  <c r="K126"/>
  <c r="O83"/>
  <c r="O19"/>
  <c r="K64"/>
  <c r="K81"/>
  <c r="K144"/>
  <c r="K6"/>
  <c r="O39"/>
  <c r="K10"/>
  <c r="K145"/>
  <c r="O41"/>
  <c r="O160"/>
  <c r="O4"/>
  <c r="O148"/>
  <c r="O94"/>
  <c r="O68"/>
  <c r="K101"/>
  <c r="O150"/>
  <c r="O149"/>
  <c r="K146"/>
  <c r="O135"/>
  <c r="K21"/>
  <c r="O92"/>
  <c r="O82"/>
  <c r="O79"/>
  <c r="K109"/>
  <c r="K53"/>
  <c r="K27"/>
  <c r="K50"/>
  <c r="K153"/>
  <c r="K119"/>
  <c r="O26"/>
  <c r="O61"/>
  <c r="O66"/>
  <c r="K4"/>
  <c r="O124"/>
  <c r="K150"/>
  <c r="K94"/>
  <c r="O131"/>
  <c r="K104"/>
  <c r="K51"/>
  <c r="O22"/>
  <c r="K33"/>
  <c r="K123"/>
  <c r="K36"/>
  <c r="O8"/>
  <c r="O40"/>
  <c r="O12"/>
  <c r="O103"/>
  <c r="K75"/>
  <c r="O101"/>
  <c r="K23"/>
  <c r="O60"/>
  <c r="K128"/>
  <c r="K66"/>
  <c r="O93"/>
  <c r="K43"/>
  <c r="O127"/>
  <c r="O11"/>
  <c r="K130"/>
  <c r="O105"/>
  <c r="K77"/>
  <c r="O42"/>
  <c r="O151"/>
  <c r="O126"/>
  <c r="K83"/>
  <c r="K19"/>
  <c r="O64"/>
  <c r="O81"/>
  <c r="O144"/>
  <c r="O6"/>
  <c r="K39"/>
  <c r="O10"/>
  <c r="O145"/>
  <c r="K41"/>
  <c r="K160"/>
  <c r="K29"/>
  <c r="O140"/>
  <c r="K107"/>
  <c r="K86"/>
  <c r="O72"/>
  <c r="O34"/>
  <c r="K56"/>
  <c r="K152"/>
  <c r="O134"/>
  <c r="O165"/>
  <c r="O132"/>
  <c r="K91"/>
  <c r="K70"/>
  <c r="O129"/>
  <c r="O62"/>
  <c r="K154"/>
  <c r="O24"/>
  <c r="K116"/>
  <c r="O65"/>
  <c r="K167"/>
  <c r="K13"/>
  <c r="O33"/>
  <c r="O48"/>
  <c r="K159"/>
  <c r="K30"/>
  <c r="K8"/>
  <c r="O147"/>
  <c r="K44"/>
  <c r="L18" i="1"/>
  <c r="K18"/>
  <c r="K19"/>
  <c r="L19"/>
  <c r="K106"/>
  <c r="L106"/>
  <c r="M107" l="1"/>
  <c r="M106"/>
  <c r="M20"/>
  <c r="M18"/>
  <c r="M19"/>
  <c r="O44"/>
  <c r="P44" s="1"/>
  <c r="O3"/>
  <c r="P3" s="1"/>
  <c r="O45"/>
  <c r="P45" s="1"/>
  <c r="O86"/>
  <c r="P86" s="1"/>
  <c r="O22"/>
  <c r="P22" s="1"/>
  <c r="O43"/>
  <c r="P43" s="1"/>
  <c r="I68"/>
  <c r="I4"/>
  <c r="I82"/>
  <c r="I83"/>
  <c r="I19"/>
  <c r="I17"/>
  <c r="I2"/>
  <c r="O56"/>
  <c r="P56" s="1"/>
  <c r="O31"/>
  <c r="P31" s="1"/>
  <c r="O57"/>
  <c r="P57" s="1"/>
  <c r="O98"/>
  <c r="P98" s="1"/>
  <c r="O34"/>
  <c r="P34" s="1"/>
  <c r="O75"/>
  <c r="P75" s="1"/>
  <c r="I80"/>
  <c r="I16"/>
  <c r="I5"/>
  <c r="I95"/>
  <c r="I31"/>
  <c r="I41"/>
  <c r="I26"/>
  <c r="O55"/>
  <c r="P55" s="1"/>
  <c r="O5"/>
  <c r="P5" s="1"/>
  <c r="O87"/>
  <c r="P87" s="1"/>
  <c r="I28"/>
  <c r="I107"/>
  <c r="I65"/>
  <c r="O23"/>
  <c r="P23" s="1"/>
  <c r="O71"/>
  <c r="P71" s="1"/>
  <c r="I30"/>
  <c r="I18"/>
  <c r="O11"/>
  <c r="P11" s="1"/>
  <c r="O90"/>
  <c r="P90" s="1"/>
  <c r="O59"/>
  <c r="P59" s="1"/>
  <c r="I8"/>
  <c r="I87"/>
  <c r="I25"/>
  <c r="O103"/>
  <c r="P103" s="1"/>
  <c r="I91"/>
  <c r="O97"/>
  <c r="P97" s="1"/>
  <c r="I71"/>
  <c r="I103"/>
  <c r="I54"/>
  <c r="I42"/>
  <c r="I56"/>
  <c r="I39"/>
  <c r="O39"/>
  <c r="P39" s="1"/>
  <c r="O61"/>
  <c r="P61" s="1"/>
  <c r="O102"/>
  <c r="P102" s="1"/>
  <c r="O38"/>
  <c r="P38" s="1"/>
  <c r="O79"/>
  <c r="P79" s="1"/>
  <c r="I84"/>
  <c r="I20"/>
  <c r="I9"/>
  <c r="I99"/>
  <c r="I35"/>
  <c r="I49"/>
  <c r="I34"/>
  <c r="O72"/>
  <c r="P72" s="1"/>
  <c r="O4"/>
  <c r="P4" s="1"/>
  <c r="O73"/>
  <c r="P73" s="1"/>
  <c r="O9"/>
  <c r="P9" s="1"/>
  <c r="O50"/>
  <c r="P50" s="1"/>
  <c r="O91"/>
  <c r="P91" s="1"/>
  <c r="I96"/>
  <c r="I32"/>
  <c r="I37"/>
  <c r="I6"/>
  <c r="I47"/>
  <c r="I73"/>
  <c r="I58"/>
  <c r="O36"/>
  <c r="P36" s="1"/>
  <c r="O37"/>
  <c r="P37" s="1"/>
  <c r="O14"/>
  <c r="P14" s="1"/>
  <c r="I60"/>
  <c r="I66"/>
  <c r="I11"/>
  <c r="O84"/>
  <c r="P84" s="1"/>
  <c r="O30"/>
  <c r="P30" s="1"/>
  <c r="I102"/>
  <c r="I78"/>
  <c r="O16"/>
  <c r="P16" s="1"/>
  <c r="O17"/>
  <c r="P17" s="1"/>
  <c r="O99"/>
  <c r="P99" s="1"/>
  <c r="I40"/>
  <c r="I22"/>
  <c r="I89"/>
  <c r="O52"/>
  <c r="P52" s="1"/>
  <c r="O62"/>
  <c r="P62" s="1"/>
  <c r="I61"/>
  <c r="O96"/>
  <c r="P96" s="1"/>
  <c r="I85"/>
  <c r="O83"/>
  <c r="P83" s="1"/>
  <c r="O10"/>
  <c r="P10" s="1"/>
  <c r="I21"/>
  <c r="O32"/>
  <c r="P32" s="1"/>
  <c r="I88"/>
  <c r="I62"/>
  <c r="O89"/>
  <c r="P89" s="1"/>
  <c r="O66"/>
  <c r="P66" s="1"/>
  <c r="O7"/>
  <c r="P7" s="1"/>
  <c r="I48"/>
  <c r="I38"/>
  <c r="I105"/>
  <c r="O68"/>
  <c r="P68" s="1"/>
  <c r="O46"/>
  <c r="P46" s="1"/>
  <c r="I92"/>
  <c r="I43"/>
  <c r="O94"/>
  <c r="P94" s="1"/>
  <c r="I12"/>
  <c r="O48"/>
  <c r="P48" s="1"/>
  <c r="O26"/>
  <c r="P26" s="1"/>
  <c r="I72"/>
  <c r="I23"/>
  <c r="O21"/>
  <c r="P21" s="1"/>
  <c r="I33"/>
  <c r="O33"/>
  <c r="P33" s="1"/>
  <c r="I24"/>
  <c r="O60"/>
  <c r="P60" s="1"/>
  <c r="O76"/>
  <c r="P76" s="1"/>
  <c r="O12"/>
  <c r="P12" s="1"/>
  <c r="O77"/>
  <c r="P77" s="1"/>
  <c r="O13"/>
  <c r="P13" s="1"/>
  <c r="O54"/>
  <c r="P54" s="1"/>
  <c r="O95"/>
  <c r="P95" s="1"/>
  <c r="I100"/>
  <c r="I36"/>
  <c r="I45"/>
  <c r="I14"/>
  <c r="I51"/>
  <c r="I81"/>
  <c r="O88"/>
  <c r="P88" s="1"/>
  <c r="O24"/>
  <c r="P24" s="1"/>
  <c r="O25"/>
  <c r="P25" s="1"/>
  <c r="I69"/>
  <c r="I63"/>
  <c r="I86"/>
  <c r="O69"/>
  <c r="P69" s="1"/>
  <c r="I29"/>
  <c r="I50"/>
  <c r="I97"/>
  <c r="O49"/>
  <c r="P49" s="1"/>
  <c r="I90"/>
  <c r="I10"/>
  <c r="I44"/>
  <c r="O42"/>
  <c r="P42" s="1"/>
  <c r="O64"/>
  <c r="P64" s="1"/>
  <c r="O29"/>
  <c r="P29" s="1"/>
  <c r="O101"/>
  <c r="P101" s="1"/>
  <c r="O85"/>
  <c r="P85" s="1"/>
  <c r="O93"/>
  <c r="P93" s="1"/>
  <c r="O40"/>
  <c r="P40" s="1"/>
  <c r="I74"/>
  <c r="I93"/>
  <c r="I70"/>
  <c r="O47"/>
  <c r="P47" s="1"/>
  <c r="O6"/>
  <c r="P6" s="1"/>
  <c r="O104"/>
  <c r="P104" s="1"/>
  <c r="I13"/>
  <c r="O53"/>
  <c r="P53" s="1"/>
  <c r="I55"/>
  <c r="O65"/>
  <c r="P65" s="1"/>
  <c r="O92"/>
  <c r="P92" s="1"/>
  <c r="O70"/>
  <c r="P70" s="1"/>
  <c r="I77"/>
  <c r="I94"/>
  <c r="O41"/>
  <c r="P41" s="1"/>
  <c r="I64"/>
  <c r="I15"/>
  <c r="O78"/>
  <c r="P78" s="1"/>
  <c r="I106"/>
  <c r="O80"/>
  <c r="P80" s="1"/>
  <c r="I53"/>
  <c r="O2"/>
  <c r="P2" s="1"/>
  <c r="I57"/>
  <c r="I52"/>
  <c r="I3"/>
  <c r="O35"/>
  <c r="P35" s="1"/>
  <c r="I79"/>
  <c r="I75"/>
  <c r="I59"/>
  <c r="I104"/>
  <c r="I98"/>
  <c r="I7"/>
  <c r="O15"/>
  <c r="P15" s="1"/>
  <c r="I67"/>
  <c r="O100"/>
  <c r="P100" s="1"/>
  <c r="I76"/>
  <c r="O58"/>
  <c r="P58" s="1"/>
  <c r="O74"/>
  <c r="P74" s="1"/>
  <c r="O28"/>
  <c r="P28" s="1"/>
  <c r="I46"/>
  <c r="O82"/>
  <c r="P82" s="1"/>
  <c r="I101"/>
  <c r="O27"/>
  <c r="P27" s="1"/>
  <c r="O81"/>
  <c r="P81" s="1"/>
  <c r="I27"/>
  <c r="N106"/>
  <c r="N107"/>
  <c r="N105"/>
  <c r="N20"/>
  <c r="N19"/>
  <c r="N18"/>
  <c r="J4"/>
  <c r="J17"/>
  <c r="J80"/>
  <c r="J31"/>
  <c r="J65"/>
  <c r="J18"/>
  <c r="J8"/>
  <c r="J103"/>
  <c r="J39"/>
  <c r="J9"/>
  <c r="J34"/>
  <c r="J32"/>
  <c r="J73"/>
  <c r="J22"/>
  <c r="J61"/>
  <c r="J62"/>
  <c r="J48"/>
  <c r="J12"/>
  <c r="J23"/>
  <c r="J14"/>
  <c r="J63"/>
  <c r="J50"/>
  <c r="J10"/>
  <c r="J70"/>
  <c r="J13"/>
  <c r="J106"/>
  <c r="J57"/>
  <c r="J104"/>
  <c r="J67"/>
  <c r="J27"/>
  <c r="J68"/>
  <c r="J19"/>
  <c r="J95"/>
  <c r="J107"/>
  <c r="J30"/>
  <c r="J71"/>
  <c r="J56"/>
  <c r="J20"/>
  <c r="J49"/>
  <c r="J96"/>
  <c r="J47"/>
  <c r="J11"/>
  <c r="J78"/>
  <c r="J40"/>
  <c r="J88"/>
  <c r="J72"/>
  <c r="J45"/>
  <c r="J69"/>
  <c r="J29"/>
  <c r="J90"/>
  <c r="J93"/>
  <c r="J94"/>
  <c r="J59"/>
  <c r="J76"/>
  <c r="J46"/>
  <c r="J5"/>
  <c r="J28"/>
  <c r="J35"/>
  <c r="J102"/>
  <c r="J105"/>
  <c r="J36"/>
  <c r="J77"/>
  <c r="J53"/>
  <c r="J75"/>
  <c r="J82"/>
  <c r="J2"/>
  <c r="J16"/>
  <c r="J41"/>
  <c r="J87"/>
  <c r="J91"/>
  <c r="J54"/>
  <c r="J99"/>
  <c r="J37"/>
  <c r="J58"/>
  <c r="J60"/>
  <c r="J89"/>
  <c r="J21"/>
  <c r="J38"/>
  <c r="J92"/>
  <c r="J24"/>
  <c r="J100"/>
  <c r="J51"/>
  <c r="J86"/>
  <c r="J97"/>
  <c r="J44"/>
  <c r="J64"/>
  <c r="J52"/>
  <c r="J79"/>
  <c r="J98"/>
  <c r="J101"/>
  <c r="J83"/>
  <c r="J26"/>
  <c r="J25"/>
  <c r="J42"/>
  <c r="J84"/>
  <c r="J6"/>
  <c r="J66"/>
  <c r="J85"/>
  <c r="J43"/>
  <c r="J33"/>
  <c r="J81"/>
  <c r="J74"/>
  <c r="J55"/>
  <c r="J15"/>
  <c r="J3"/>
  <c r="J7"/>
  <c r="O105" l="1"/>
  <c r="P105" s="1"/>
  <c r="O107"/>
  <c r="P107" s="1"/>
  <c r="O106"/>
  <c r="P106" s="1"/>
  <c r="O20"/>
  <c r="P20" s="1"/>
  <c r="O18"/>
  <c r="P18" s="1"/>
  <c r="O19"/>
  <c r="P19" s="1"/>
</calcChain>
</file>

<file path=xl/sharedStrings.xml><?xml version="1.0" encoding="utf-8"?>
<sst xmlns="http://schemas.openxmlformats.org/spreadsheetml/2006/main" count="667" uniqueCount="114">
  <si>
    <t>D4</t>
    <phoneticPr fontId="1" type="noConversion"/>
  </si>
  <si>
    <t>F4</t>
    <phoneticPr fontId="1" type="noConversion"/>
  </si>
  <si>
    <t>A5</t>
    <phoneticPr fontId="1" type="noConversion"/>
  </si>
  <si>
    <t>G4</t>
    <phoneticPr fontId="1" type="noConversion"/>
  </si>
  <si>
    <t>F5</t>
    <phoneticPr fontId="1" type="noConversion"/>
  </si>
  <si>
    <t>D5</t>
    <phoneticPr fontId="1" type="noConversion"/>
  </si>
  <si>
    <t>C#5</t>
    <phoneticPr fontId="1" type="noConversion"/>
  </si>
  <si>
    <t>E5</t>
    <phoneticPr fontId="1" type="noConversion"/>
  </si>
  <si>
    <t>A6</t>
    <phoneticPr fontId="1" type="noConversion"/>
  </si>
  <si>
    <t>G5</t>
    <phoneticPr fontId="1" type="noConversion"/>
  </si>
  <si>
    <t>D#6</t>
    <phoneticPr fontId="1" type="noConversion"/>
  </si>
  <si>
    <t>E6</t>
    <phoneticPr fontId="1" type="noConversion"/>
  </si>
  <si>
    <t>B6</t>
    <phoneticPr fontId="1" type="noConversion"/>
  </si>
  <si>
    <t>G#5</t>
    <phoneticPr fontId="1" type="noConversion"/>
  </si>
  <si>
    <t>F#5</t>
    <phoneticPr fontId="1" type="noConversion"/>
  </si>
  <si>
    <t>D4</t>
    <phoneticPr fontId="1" type="noConversion"/>
  </si>
  <si>
    <t>E4</t>
    <phoneticPr fontId="1" type="noConversion"/>
  </si>
  <si>
    <t>A4</t>
    <phoneticPr fontId="1" type="noConversion"/>
  </si>
  <si>
    <t>Bb5</t>
    <phoneticPr fontId="1" type="noConversion"/>
  </si>
  <si>
    <t>G#4</t>
    <phoneticPr fontId="1" type="noConversion"/>
  </si>
  <si>
    <t>B5</t>
    <phoneticPr fontId="1" type="noConversion"/>
  </si>
  <si>
    <t>C5</t>
    <phoneticPr fontId="1" type="noConversion"/>
  </si>
  <si>
    <t>F#4</t>
    <phoneticPr fontId="1" type="noConversion"/>
  </si>
  <si>
    <t>D3</t>
    <phoneticPr fontId="1" type="noConversion"/>
  </si>
  <si>
    <t>C#4</t>
    <phoneticPr fontId="1" type="noConversion"/>
  </si>
  <si>
    <t>A3</t>
    <phoneticPr fontId="1" type="noConversion"/>
  </si>
  <si>
    <t>B4D4</t>
    <phoneticPr fontId="1" type="noConversion"/>
  </si>
  <si>
    <t>B4</t>
    <phoneticPr fontId="1" type="noConversion"/>
  </si>
  <si>
    <t>C4</t>
    <phoneticPr fontId="1" type="noConversion"/>
  </si>
  <si>
    <t>E4</t>
    <phoneticPr fontId="1" type="noConversion"/>
  </si>
  <si>
    <t>A5</t>
    <phoneticPr fontId="1" type="noConversion"/>
  </si>
  <si>
    <t>D4</t>
    <phoneticPr fontId="1" type="noConversion"/>
  </si>
  <si>
    <t>D3B4</t>
    <phoneticPr fontId="1" type="noConversion"/>
  </si>
  <si>
    <t>D3</t>
    <phoneticPr fontId="1" type="noConversion"/>
  </si>
  <si>
    <t>D3C4</t>
    <phoneticPr fontId="1" type="noConversion"/>
  </si>
  <si>
    <t>D3D4</t>
    <phoneticPr fontId="1" type="noConversion"/>
  </si>
  <si>
    <t>F#3</t>
    <phoneticPr fontId="1" type="noConversion"/>
  </si>
  <si>
    <t>G3</t>
    <phoneticPr fontId="1" type="noConversion"/>
  </si>
  <si>
    <t>A4</t>
    <phoneticPr fontId="1" type="noConversion"/>
  </si>
  <si>
    <t>C#4</t>
    <phoneticPr fontId="1" type="noConversion"/>
  </si>
  <si>
    <t>F3</t>
    <phoneticPr fontId="1" type="noConversion"/>
  </si>
  <si>
    <t>B3</t>
    <phoneticPr fontId="1" type="noConversion"/>
  </si>
  <si>
    <t>G#3</t>
    <phoneticPr fontId="1" type="noConversion"/>
  </si>
  <si>
    <t>E3</t>
    <phoneticPr fontId="1" type="noConversion"/>
  </si>
  <si>
    <t>A3</t>
    <phoneticPr fontId="1" type="noConversion"/>
  </si>
  <si>
    <t>G2</t>
    <phoneticPr fontId="1" type="noConversion"/>
  </si>
  <si>
    <t>F#2</t>
    <phoneticPr fontId="1" type="noConversion"/>
  </si>
  <si>
    <t>E2</t>
    <phoneticPr fontId="1" type="noConversion"/>
  </si>
  <si>
    <t>D2</t>
    <phoneticPr fontId="1" type="noConversion"/>
  </si>
  <si>
    <t>G#2</t>
    <phoneticPr fontId="1" type="noConversion"/>
  </si>
  <si>
    <t>C3</t>
    <phoneticPr fontId="1" type="noConversion"/>
  </si>
  <si>
    <t>Key</t>
    <phoneticPr fontId="1" type="noConversion"/>
  </si>
  <si>
    <t>Major/minor</t>
    <phoneticPr fontId="1" type="noConversion"/>
  </si>
  <si>
    <t>C</t>
    <phoneticPr fontId="1" type="noConversion"/>
  </si>
  <si>
    <t>C#</t>
    <phoneticPr fontId="1" type="noConversion"/>
  </si>
  <si>
    <t>D</t>
    <phoneticPr fontId="1" type="noConversion"/>
  </si>
  <si>
    <t>E</t>
    <phoneticPr fontId="1" type="noConversion"/>
  </si>
  <si>
    <t>Eb</t>
    <phoneticPr fontId="1" type="noConversion"/>
  </si>
  <si>
    <t>C#/Db</t>
    <phoneticPr fontId="1" type="noConversion"/>
  </si>
  <si>
    <t>D#/Eb</t>
    <phoneticPr fontId="1" type="noConversion"/>
  </si>
  <si>
    <t>F</t>
    <phoneticPr fontId="1" type="noConversion"/>
  </si>
  <si>
    <t>F#/Gb</t>
    <phoneticPr fontId="1" type="noConversion"/>
  </si>
  <si>
    <t>G</t>
    <phoneticPr fontId="1" type="noConversion"/>
  </si>
  <si>
    <t>G#/Ab</t>
    <phoneticPr fontId="1" type="noConversion"/>
  </si>
  <si>
    <t>A</t>
    <phoneticPr fontId="1" type="noConversion"/>
  </si>
  <si>
    <t>A#/Bb</t>
    <phoneticPr fontId="1" type="noConversion"/>
  </si>
  <si>
    <t>B</t>
    <phoneticPr fontId="1" type="noConversion"/>
  </si>
  <si>
    <t>Major</t>
    <phoneticPr fontId="1" type="noConversion"/>
  </si>
  <si>
    <t>Chord</t>
    <phoneticPr fontId="1" type="noConversion"/>
  </si>
  <si>
    <t>Key ID</t>
    <phoneticPr fontId="1" type="noConversion"/>
  </si>
  <si>
    <t>D#</t>
    <phoneticPr fontId="1" type="noConversion"/>
  </si>
  <si>
    <t>F#</t>
    <phoneticPr fontId="1" type="noConversion"/>
  </si>
  <si>
    <t>G#</t>
    <phoneticPr fontId="1" type="noConversion"/>
  </si>
  <si>
    <t>A#</t>
    <phoneticPr fontId="1" type="noConversion"/>
  </si>
  <si>
    <t>Offset 1</t>
    <phoneticPr fontId="1" type="noConversion"/>
  </si>
  <si>
    <t>Offset 2</t>
    <phoneticPr fontId="1" type="noConversion"/>
  </si>
  <si>
    <t>Offset 3</t>
    <phoneticPr fontId="1" type="noConversion"/>
  </si>
  <si>
    <t>Db</t>
    <phoneticPr fontId="1" type="noConversion"/>
  </si>
  <si>
    <t>Gb</t>
    <phoneticPr fontId="1" type="noConversion"/>
  </si>
  <si>
    <t>Ab</t>
    <phoneticPr fontId="1" type="noConversion"/>
  </si>
  <si>
    <t>Bb</t>
    <phoneticPr fontId="1" type="noConversion"/>
  </si>
  <si>
    <t>Pitch</t>
    <phoneticPr fontId="1" type="noConversion"/>
  </si>
  <si>
    <t>Pitch class ID</t>
    <phoneticPr fontId="1" type="noConversion"/>
  </si>
  <si>
    <t>Pitch class (sharp)</t>
    <phoneticPr fontId="1" type="noConversion"/>
  </si>
  <si>
    <t>Pitch class (flat)</t>
    <phoneticPr fontId="1" type="noConversion"/>
  </si>
  <si>
    <t>Pitch class 1 (sharp)</t>
    <phoneticPr fontId="1" type="noConversion"/>
  </si>
  <si>
    <t>Pitch classes (sharp)</t>
    <phoneticPr fontId="1" type="noConversion"/>
  </si>
  <si>
    <t>Pitch classes (flat)</t>
    <phoneticPr fontId="1" type="noConversion"/>
  </si>
  <si>
    <t>Pitch class 2 (sharp)</t>
    <phoneticPr fontId="1" type="noConversion"/>
  </si>
  <si>
    <t>Pitch class 3 (sharp)</t>
    <phoneticPr fontId="1" type="noConversion"/>
  </si>
  <si>
    <t>Pitch class 1 (flat)</t>
    <phoneticPr fontId="1" type="noConversion"/>
  </si>
  <si>
    <t>Pitch class 2 (flat)</t>
    <phoneticPr fontId="1" type="noConversion"/>
  </si>
  <si>
    <t>Pitch class 3 (flat)</t>
    <phoneticPr fontId="1" type="noConversion"/>
  </si>
  <si>
    <t>Major offsets</t>
    <phoneticPr fontId="1" type="noConversion"/>
  </si>
  <si>
    <t>Minor offsets</t>
    <phoneticPr fontId="1" type="noConversion"/>
  </si>
  <si>
    <t>Minor</t>
    <phoneticPr fontId="1" type="noConversion"/>
  </si>
  <si>
    <t>Immediate chord match?</t>
    <phoneticPr fontId="1" type="noConversion"/>
  </si>
  <si>
    <t>Event</t>
    <phoneticPr fontId="1" type="noConversion"/>
  </si>
  <si>
    <t>Bar begin</t>
    <phoneticPr fontId="1" type="noConversion"/>
  </si>
  <si>
    <t>Bar end</t>
    <phoneticPr fontId="1" type="noConversion"/>
  </si>
  <si>
    <t>Violin I</t>
    <phoneticPr fontId="1" type="noConversion"/>
  </si>
  <si>
    <t>Violin II</t>
    <phoneticPr fontId="1" type="noConversion"/>
  </si>
  <si>
    <t>Viola</t>
    <phoneticPr fontId="1" type="noConversion"/>
  </si>
  <si>
    <t>Cello</t>
    <phoneticPr fontId="1" type="noConversion"/>
  </si>
  <si>
    <t>Pitch classes</t>
    <phoneticPr fontId="1" type="noConversion"/>
  </si>
  <si>
    <t>3 or more pitch classes?</t>
    <phoneticPr fontId="1" type="noConversion"/>
  </si>
  <si>
    <t>2 pitch classes?</t>
    <phoneticPr fontId="1" type="noConversion"/>
  </si>
  <si>
    <t>1 pitch class?</t>
    <phoneticPr fontId="1" type="noConversion"/>
  </si>
  <si>
    <t>Step 1: merge adjacent events if having same pitch classes</t>
    <phoneticPr fontId="1" type="noConversion"/>
  </si>
  <si>
    <t>Step 2: For each event, add pitch class(es) from 1 event before and 1 event after the event within the measure</t>
    <phoneticPr fontId="1" type="noConversion"/>
  </si>
  <si>
    <t>Step 3: 100% Chord Match?</t>
    <phoneticPr fontId="1" type="noConversion"/>
  </si>
  <si>
    <t>Step 4: Chord(s) agreement in each bar</t>
    <phoneticPr fontId="1" type="noConversion"/>
  </si>
  <si>
    <t>A4</t>
    <phoneticPr fontId="1" type="noConversion"/>
  </si>
  <si>
    <t>G#2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</si>
</sst>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Arial Unicode MS"/>
      <family val="2"/>
      <charset val="136"/>
    </font>
    <font>
      <b/>
      <sz val="11"/>
      <color theme="1"/>
      <name val="Arial Unicode MS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C07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0" xfId="0" applyNumberFormat="1" applyFont="1" applyAlignment="1">
      <alignment wrapText="1"/>
    </xf>
    <xf numFmtId="0" fontId="3" fillId="0" borderId="1" xfId="0" applyFont="1" applyBorder="1" applyAlignment="1">
      <alignment wrapText="1"/>
    </xf>
    <xf numFmtId="0" fontId="3" fillId="2" borderId="1" xfId="0" applyFont="1" applyFill="1" applyBorder="1" applyAlignment="1">
      <alignment wrapText="1"/>
    </xf>
  </cellXfs>
  <cellStyles count="1">
    <cellStyle name="Normal" xfId="0" builtinId="0"/>
  </cellStyles>
  <dxfs count="9">
    <dxf>
      <fill>
        <patternFill>
          <bgColor rgb="FF9CE159"/>
        </patternFill>
      </fill>
    </dxf>
    <dxf>
      <fill>
        <patternFill>
          <bgColor rgb="FF9CE159"/>
        </patternFill>
      </fill>
    </dxf>
    <dxf>
      <fill>
        <patternFill>
          <bgColor rgb="FF63B2DE"/>
        </patternFill>
      </fill>
    </dxf>
    <dxf>
      <fill>
        <patternFill>
          <bgColor rgb="FFFFE061"/>
        </patternFill>
      </fill>
    </dxf>
    <dxf>
      <fill>
        <patternFill>
          <bgColor rgb="FFFFC071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9CE159"/>
      <color rgb="FFC0E151"/>
      <color rgb="FF63B2DE"/>
      <color rgb="FFFFE061"/>
      <color rgb="FFFFC071"/>
      <color rgb="FFFFDC71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7"/>
  <sheetViews>
    <sheetView tabSelected="1" workbookViewId="0">
      <pane xSplit="3" ySplit="1" topLeftCell="D94" activePane="bottomRight" state="frozen"/>
      <selection pane="topRight" activeCell="D1" sqref="D1"/>
      <selection pane="bottomLeft" activeCell="A2" sqref="A2"/>
      <selection pane="bottomRight" activeCell="G107" sqref="G107"/>
    </sheetView>
  </sheetViews>
  <sheetFormatPr defaultRowHeight="16.5"/>
  <cols>
    <col min="1" max="1" width="7.140625" style="1" bestFit="1" customWidth="1"/>
    <col min="2" max="2" width="7.7109375" style="1" bestFit="1" customWidth="1"/>
    <col min="3" max="3" width="5.85546875" style="1" bestFit="1" customWidth="1"/>
    <col min="4" max="4" width="9.140625" style="1" bestFit="1" customWidth="1"/>
    <col min="5" max="5" width="9.7109375" style="1" bestFit="1" customWidth="1"/>
    <col min="6" max="6" width="7.28515625" style="1" bestFit="1" customWidth="1"/>
    <col min="7" max="7" width="7.42578125" style="1" customWidth="1"/>
    <col min="8" max="8" width="10.28515625" style="1" bestFit="1" customWidth="1"/>
    <col min="9" max="9" width="13.28515625" style="1" bestFit="1" customWidth="1"/>
    <col min="10" max="10" width="12.5703125" style="1" bestFit="1" customWidth="1"/>
    <col min="11" max="11" width="11.7109375" style="1" bestFit="1" customWidth="1"/>
    <col min="12" max="12" width="9.140625" style="1"/>
    <col min="13" max="13" width="17.85546875" style="1" bestFit="1" customWidth="1"/>
    <col min="14" max="14" width="34.7109375" style="1" bestFit="1" customWidth="1"/>
    <col min="15" max="15" width="9.85546875" style="1" bestFit="1" customWidth="1"/>
    <col min="16" max="16" width="14.28515625" style="1" bestFit="1" customWidth="1"/>
    <col min="17" max="16384" width="9.140625" style="1"/>
  </cols>
  <sheetData>
    <row r="1" spans="1:16" s="4" customFormat="1" ht="66.75" thickBot="1">
      <c r="A1" s="4" t="s">
        <v>97</v>
      </c>
      <c r="B1" s="4" t="s">
        <v>98</v>
      </c>
      <c r="C1" s="4" t="s">
        <v>99</v>
      </c>
      <c r="D1" s="4" t="s">
        <v>100</v>
      </c>
      <c r="E1" s="4" t="s">
        <v>101</v>
      </c>
      <c r="F1" s="4" t="s">
        <v>102</v>
      </c>
      <c r="G1" s="4" t="s">
        <v>103</v>
      </c>
      <c r="H1" s="4" t="s">
        <v>104</v>
      </c>
      <c r="I1" s="4" t="s">
        <v>96</v>
      </c>
      <c r="J1" s="5" t="s">
        <v>105</v>
      </c>
      <c r="K1" s="5" t="s">
        <v>106</v>
      </c>
      <c r="L1" s="5" t="s">
        <v>107</v>
      </c>
      <c r="M1" s="4" t="s">
        <v>108</v>
      </c>
      <c r="N1" s="4" t="s">
        <v>109</v>
      </c>
      <c r="O1" s="4" t="s">
        <v>110</v>
      </c>
      <c r="P1" s="4" t="s">
        <v>111</v>
      </c>
    </row>
    <row r="2" spans="1:16">
      <c r="A2" s="1">
        <v>1</v>
      </c>
      <c r="B2" s="1">
        <v>1</v>
      </c>
      <c r="C2" s="1">
        <v>8</v>
      </c>
      <c r="D2" s="1" t="s">
        <v>0</v>
      </c>
      <c r="E2" s="1" t="s">
        <v>15</v>
      </c>
      <c r="F2" s="1" t="s">
        <v>23</v>
      </c>
      <c r="G2" s="1" t="s">
        <v>33</v>
      </c>
      <c r="H2" s="1" t="str">
        <f>GetSortedUniquePitchClasses(GetPitchClasses(CONCATENATE(D2, E2, F2, G2)))</f>
        <v>D</v>
      </c>
      <c r="I2" s="1" t="str">
        <f ca="1">IF(AND(ISNA(VLOOKUP(H2, Chords!K$2:K$169, 0, FALSE)), ISNA(VLOOKUP(H2, Chords!O$2:O$169, 0, FALSE))), "", "Yes")</f>
        <v/>
      </c>
      <c r="J2" s="1" t="str">
        <f ca="1">IF(AND(I2="", CountSortedUniquePitchClasses(H2)&gt;=3), "Yes", "")</f>
        <v/>
      </c>
      <c r="K2" s="1" t="str">
        <f>IF(CountSortedUniquePitchClasses(H2)=2, "Yes", "")</f>
        <v/>
      </c>
      <c r="L2" s="1" t="str">
        <f>IF(CountSortedUniquePitchClasses(H2)=1, "Yes", "")</f>
        <v>Yes</v>
      </c>
      <c r="M2" s="1" t="str">
        <f>IF(H2=H1, "Merged", "")</f>
        <v/>
      </c>
      <c r="N2" s="1" t="str">
        <f>IF(M2="Merged", "", GetSortedUniquePitchClasses(CONCATENATE(IF(B1=B2, H1, ""), H2, IF(B2=B3, H3, ""))))</f>
        <v>DF</v>
      </c>
      <c r="O2" s="1" t="str">
        <f ca="1">IF(M2="Merged", "", IF(AND(ISNA(VLOOKUP(N2, Chords!K$2:K$169, 0, FALSE)), ISNA(VLOOKUP(N2, Chords!O$2:O$169, 0, FALSE))), "", "Yes"))</f>
        <v/>
      </c>
      <c r="P2" s="1" t="str">
        <f ca="1">IF(O2="Yes", N2, "")</f>
        <v/>
      </c>
    </row>
    <row r="3" spans="1:16">
      <c r="A3" s="1">
        <v>2</v>
      </c>
      <c r="B3" s="1">
        <v>1</v>
      </c>
      <c r="C3" s="1">
        <v>8</v>
      </c>
      <c r="D3" s="1" t="s">
        <v>1</v>
      </c>
      <c r="E3" s="1" t="s">
        <v>0</v>
      </c>
      <c r="F3" s="1" t="s">
        <v>23</v>
      </c>
      <c r="G3" s="1" t="s">
        <v>33</v>
      </c>
      <c r="H3" s="1" t="str">
        <f>GetSortedUniquePitchClasses(GetPitchClasses(CONCATENATE(D3, E3, F3, G3)))</f>
        <v>DF</v>
      </c>
      <c r="I3" s="1" t="str">
        <f ca="1">IF(AND(ISNA(VLOOKUP(H3, Chords!K$2:K$169, 0, FALSE)), ISNA(VLOOKUP(H3, Chords!O$2:O$169, 0, FALSE))), "", "Yes")</f>
        <v/>
      </c>
      <c r="J3" s="1" t="str">
        <f t="shared" ref="J3:J66" ca="1" si="0">IF(AND(I3="", CountSortedUniquePitchClasses(H3)&gt;=3), "Yes", "")</f>
        <v/>
      </c>
      <c r="K3" s="1" t="str">
        <f t="shared" ref="K3:K66" si="1">IF(CountSortedUniquePitchClasses(H3)=2, "Yes", "")</f>
        <v>Yes</v>
      </c>
      <c r="L3" s="1" t="str">
        <f t="shared" ref="L3:L66" si="2">IF(CountSortedUniquePitchClasses(H3)=1, "Yes", "")</f>
        <v/>
      </c>
      <c r="M3" s="1" t="str">
        <f t="shared" ref="M3:M66" si="3">IF(H3=H2, "Merged", "")</f>
        <v/>
      </c>
      <c r="N3" s="1" t="str">
        <f t="shared" ref="N3:N66" si="4">IF(M3="Merged", "", GetSortedUniquePitchClasses(CONCATENATE(IF(B2=B3, H2, ""), H3, IF(B3=B4, H4, ""))))</f>
        <v>ADF</v>
      </c>
      <c r="O3" s="1" t="str">
        <f ca="1">IF(M3="Merged", "", IF(AND(ISNA(VLOOKUP(N3, Chords!K$2:K$169, 0, FALSE)), ISNA(VLOOKUP(N3, Chords!O$2:O$169, 0, FALSE))), "", "Yes"))</f>
        <v>Yes</v>
      </c>
      <c r="P3" s="1" t="str">
        <f t="shared" ref="P3:P66" ca="1" si="5">IF(O3="Yes", N3, "")</f>
        <v>ADF</v>
      </c>
    </row>
    <row r="4" spans="1:16">
      <c r="A4" s="1">
        <v>3</v>
      </c>
      <c r="B4" s="1">
        <v>1</v>
      </c>
      <c r="C4" s="1">
        <v>8</v>
      </c>
      <c r="D4" s="1" t="s">
        <v>2</v>
      </c>
      <c r="F4" s="1" t="s">
        <v>23</v>
      </c>
      <c r="G4" s="1" t="s">
        <v>33</v>
      </c>
      <c r="H4" s="1" t="str">
        <f>GetSortedUniquePitchClasses(GetPitchClasses(CONCATENATE(D4, E4, F4, G4)))</f>
        <v>AD</v>
      </c>
      <c r="I4" s="1" t="str">
        <f ca="1">IF(AND(ISNA(VLOOKUP(H4, Chords!K$2:K$169, 0, FALSE)), ISNA(VLOOKUP(H4, Chords!O$2:O$169, 0, FALSE))), "", "Yes")</f>
        <v/>
      </c>
      <c r="J4" s="1" t="str">
        <f t="shared" ca="1" si="0"/>
        <v/>
      </c>
      <c r="K4" s="1" t="str">
        <f t="shared" si="1"/>
        <v>Yes</v>
      </c>
      <c r="L4" s="1" t="str">
        <f t="shared" si="2"/>
        <v/>
      </c>
      <c r="M4" s="1" t="str">
        <f t="shared" si="3"/>
        <v/>
      </c>
      <c r="N4" s="1" t="str">
        <f t="shared" si="4"/>
        <v>ADFG</v>
      </c>
      <c r="O4" s="1" t="str">
        <f ca="1">IF(M4="Merged", "", IF(AND(ISNA(VLOOKUP(N4, Chords!K$2:K$169, 0, FALSE)), ISNA(VLOOKUP(N4, Chords!O$2:O$169, 0, FALSE))), "", "Yes"))</f>
        <v/>
      </c>
      <c r="P4" s="1" t="str">
        <f t="shared" ca="1" si="5"/>
        <v/>
      </c>
    </row>
    <row r="5" spans="1:16">
      <c r="A5" s="1">
        <v>4</v>
      </c>
      <c r="B5" s="1">
        <v>1</v>
      </c>
      <c r="C5" s="1">
        <v>8</v>
      </c>
      <c r="D5" s="1" t="s">
        <v>3</v>
      </c>
      <c r="F5" s="1" t="s">
        <v>23</v>
      </c>
      <c r="G5" s="1" t="s">
        <v>33</v>
      </c>
      <c r="H5" s="1" t="str">
        <f>GetSortedUniquePitchClasses(GetPitchClasses(CONCATENATE(D5, E5, F5, G5)))</f>
        <v>DG</v>
      </c>
      <c r="I5" s="1" t="str">
        <f ca="1">IF(AND(ISNA(VLOOKUP(H5, Chords!K$2:K$169, 0, FALSE)), ISNA(VLOOKUP(H5, Chords!O$2:O$169, 0, FALSE))), "", "Yes")</f>
        <v/>
      </c>
      <c r="J5" s="1" t="str">
        <f t="shared" ca="1" si="0"/>
        <v/>
      </c>
      <c r="K5" s="1" t="str">
        <f t="shared" si="1"/>
        <v>Yes</v>
      </c>
      <c r="L5" s="1" t="str">
        <f t="shared" si="2"/>
        <v/>
      </c>
      <c r="M5" s="1" t="str">
        <f t="shared" si="3"/>
        <v/>
      </c>
      <c r="N5" s="1" t="str">
        <f t="shared" si="4"/>
        <v>ADFG</v>
      </c>
      <c r="O5" s="1" t="str">
        <f ca="1">IF(M5="Merged", "", IF(AND(ISNA(VLOOKUP(N5, Chords!K$2:K$169, 0, FALSE)), ISNA(VLOOKUP(N5, Chords!O$2:O$169, 0, FALSE))), "", "Yes"))</f>
        <v/>
      </c>
      <c r="P5" s="1" t="str">
        <f t="shared" ca="1" si="5"/>
        <v/>
      </c>
    </row>
    <row r="6" spans="1:16">
      <c r="A6" s="1">
        <v>5</v>
      </c>
      <c r="B6" s="1">
        <v>1</v>
      </c>
      <c r="C6" s="1">
        <v>8</v>
      </c>
      <c r="D6" s="1" t="s">
        <v>1</v>
      </c>
      <c r="E6" s="1" t="s">
        <v>0</v>
      </c>
      <c r="H6" s="1" t="str">
        <f>GetSortedUniquePitchClasses(GetPitchClasses(CONCATENATE(D6, E6, F6, G6)))</f>
        <v>DF</v>
      </c>
      <c r="I6" s="1" t="str">
        <f ca="1">IF(AND(ISNA(VLOOKUP(H6, Chords!K$2:K$169, 0, FALSE)), ISNA(VLOOKUP(H6, Chords!O$2:O$169, 0, FALSE))), "", "Yes")</f>
        <v/>
      </c>
      <c r="J6" s="1" t="str">
        <f t="shared" ca="1" si="0"/>
        <v/>
      </c>
      <c r="K6" s="1" t="str">
        <f t="shared" si="1"/>
        <v>Yes</v>
      </c>
      <c r="L6" s="1" t="str">
        <f t="shared" si="2"/>
        <v/>
      </c>
      <c r="M6" s="1" t="str">
        <f t="shared" si="3"/>
        <v/>
      </c>
      <c r="N6" s="1" t="str">
        <f t="shared" si="4"/>
        <v>ADFG</v>
      </c>
      <c r="O6" s="1" t="str">
        <f ca="1">IF(M6="Merged", "", IF(AND(ISNA(VLOOKUP(N6, Chords!K$2:K$169, 0, FALSE)), ISNA(VLOOKUP(N6, Chords!O$2:O$169, 0, FALSE))), "", "Yes"))</f>
        <v/>
      </c>
      <c r="P6" s="1" t="str">
        <f t="shared" ca="1" si="5"/>
        <v/>
      </c>
    </row>
    <row r="7" spans="1:16">
      <c r="A7" s="1">
        <v>6</v>
      </c>
      <c r="B7" s="1">
        <v>1</v>
      </c>
      <c r="C7" s="1">
        <v>8</v>
      </c>
      <c r="D7" s="1" t="s">
        <v>2</v>
      </c>
      <c r="E7" s="1" t="s">
        <v>1</v>
      </c>
      <c r="H7" s="1" t="str">
        <f>GetSortedUniquePitchClasses(GetPitchClasses(CONCATENATE(D7, E7, F7, G7)))</f>
        <v>AF</v>
      </c>
      <c r="I7" s="1" t="str">
        <f ca="1">IF(AND(ISNA(VLOOKUP(H7, Chords!K$2:K$169, 0, FALSE)), ISNA(VLOOKUP(H7, Chords!O$2:O$169, 0, FALSE))), "", "Yes")</f>
        <v/>
      </c>
      <c r="J7" s="1" t="str">
        <f t="shared" ca="1" si="0"/>
        <v/>
      </c>
      <c r="K7" s="1" t="str">
        <f t="shared" si="1"/>
        <v>Yes</v>
      </c>
      <c r="L7" s="1" t="str">
        <f t="shared" si="2"/>
        <v/>
      </c>
      <c r="M7" s="1" t="str">
        <f t="shared" si="3"/>
        <v/>
      </c>
      <c r="N7" s="1" t="str">
        <f t="shared" si="4"/>
        <v>ADF</v>
      </c>
      <c r="O7" s="1" t="str">
        <f ca="1">IF(M7="Merged", "", IF(AND(ISNA(VLOOKUP(N7, Chords!K$2:K$169, 0, FALSE)), ISNA(VLOOKUP(N7, Chords!O$2:O$169, 0, FALSE))), "", "Yes"))</f>
        <v>Yes</v>
      </c>
      <c r="P7" s="1" t="str">
        <f t="shared" ca="1" si="5"/>
        <v>ADF</v>
      </c>
    </row>
    <row r="8" spans="1:16">
      <c r="A8" s="1">
        <v>7</v>
      </c>
      <c r="B8" s="1">
        <v>1</v>
      </c>
      <c r="C8" s="1">
        <v>8</v>
      </c>
      <c r="D8" s="1" t="s">
        <v>4</v>
      </c>
      <c r="E8" s="1" t="s">
        <v>2</v>
      </c>
      <c r="H8" s="1" t="str">
        <f>GetSortedUniquePitchClasses(GetPitchClasses(CONCATENATE(D8, E8, F8, G8)))</f>
        <v>AF</v>
      </c>
      <c r="I8" s="1" t="str">
        <f ca="1">IF(AND(ISNA(VLOOKUP(H8, Chords!K$2:K$169, 0, FALSE)), ISNA(VLOOKUP(H8, Chords!O$2:O$169, 0, FALSE))), "", "Yes")</f>
        <v/>
      </c>
      <c r="J8" s="1" t="str">
        <f t="shared" ca="1" si="0"/>
        <v/>
      </c>
      <c r="K8" s="1" t="str">
        <f t="shared" si="1"/>
        <v>Yes</v>
      </c>
      <c r="L8" s="1" t="str">
        <f t="shared" si="2"/>
        <v/>
      </c>
      <c r="M8" s="1" t="str">
        <f t="shared" si="3"/>
        <v>Merged</v>
      </c>
      <c r="N8" s="1" t="str">
        <f t="shared" si="4"/>
        <v/>
      </c>
      <c r="O8" s="1" t="str">
        <f>IF(M8="Merged", "", IF(AND(ISNA(VLOOKUP(N8, Chords!K$2:K$169, 0, FALSE)), ISNA(VLOOKUP(N8, Chords!O$2:O$169, 0, FALSE))), "", "Yes"))</f>
        <v/>
      </c>
      <c r="P8" s="1" t="str">
        <f t="shared" si="5"/>
        <v/>
      </c>
    </row>
    <row r="9" spans="1:16" s="2" customFormat="1" ht="17.25" thickBot="1">
      <c r="A9" s="2">
        <v>8</v>
      </c>
      <c r="B9" s="2">
        <v>1</v>
      </c>
      <c r="C9" s="2">
        <v>8</v>
      </c>
      <c r="D9" s="2" t="s">
        <v>5</v>
      </c>
      <c r="E9" s="2" t="s">
        <v>1</v>
      </c>
      <c r="H9" s="2" t="str">
        <f>GetSortedUniquePitchClasses(GetPitchClasses(CONCATENATE(D9, E9, F9, G9)))</f>
        <v>DF</v>
      </c>
      <c r="I9" s="2" t="str">
        <f ca="1">IF(AND(ISNA(VLOOKUP(H9, Chords!K$2:K$169, 0, FALSE)), ISNA(VLOOKUP(H9, Chords!O$2:O$169, 0, FALSE))), "", "Yes")</f>
        <v/>
      </c>
      <c r="J9" s="2" t="str">
        <f t="shared" ca="1" si="0"/>
        <v/>
      </c>
      <c r="K9" s="2" t="str">
        <f t="shared" si="1"/>
        <v>Yes</v>
      </c>
      <c r="L9" s="2" t="str">
        <f t="shared" si="2"/>
        <v/>
      </c>
      <c r="M9" s="2" t="str">
        <f t="shared" si="3"/>
        <v/>
      </c>
      <c r="N9" s="2" t="str">
        <f t="shared" si="4"/>
        <v>ADF</v>
      </c>
      <c r="O9" s="2" t="str">
        <f ca="1">IF(M9="Merged", "", IF(AND(ISNA(VLOOKUP(N9, Chords!K$2:K$169, 0, FALSE)), ISNA(VLOOKUP(N9, Chords!O$2:O$169, 0, FALSE))), "", "Yes"))</f>
        <v>Yes</v>
      </c>
      <c r="P9" s="2" t="str">
        <f t="shared" ca="1" si="5"/>
        <v>ADF</v>
      </c>
    </row>
    <row r="10" spans="1:16">
      <c r="A10" s="1">
        <v>9</v>
      </c>
      <c r="B10" s="1">
        <v>9</v>
      </c>
      <c r="C10" s="1">
        <v>16</v>
      </c>
      <c r="D10" s="1" t="s">
        <v>6</v>
      </c>
      <c r="E10" s="1" t="s">
        <v>16</v>
      </c>
      <c r="F10" s="1" t="s">
        <v>19</v>
      </c>
      <c r="H10" s="1" t="str">
        <f>GetSortedUniquePitchClasses(GetPitchClasses(CONCATENATE(D10, E10, F10, G10)))</f>
        <v>C#EG#</v>
      </c>
      <c r="I10" s="1" t="str">
        <f ca="1">IF(AND(ISNA(VLOOKUP(H10, Chords!K$2:K$169, 0, FALSE)), ISNA(VLOOKUP(H10, Chords!O$2:O$169, 0, FALSE))), "", "Yes")</f>
        <v>Yes</v>
      </c>
      <c r="J10" s="1" t="str">
        <f t="shared" ca="1" si="0"/>
        <v/>
      </c>
      <c r="K10" s="1" t="str">
        <f t="shared" si="1"/>
        <v/>
      </c>
      <c r="L10" s="1" t="str">
        <f t="shared" si="2"/>
        <v/>
      </c>
      <c r="M10" s="1" t="str">
        <f t="shared" si="3"/>
        <v/>
      </c>
      <c r="N10" s="1" t="str">
        <f t="shared" si="4"/>
        <v>AC#EG#</v>
      </c>
      <c r="O10" s="1" t="str">
        <f ca="1">IF(M10="Merged", "", IF(AND(ISNA(VLOOKUP(N10, Chords!K$2:K$169, 0, FALSE)), ISNA(VLOOKUP(N10, Chords!O$2:O$169, 0, FALSE))), "", "Yes"))</f>
        <v/>
      </c>
      <c r="P10" s="1" t="str">
        <f t="shared" ca="1" si="5"/>
        <v/>
      </c>
    </row>
    <row r="11" spans="1:16">
      <c r="A11" s="1">
        <v>10</v>
      </c>
      <c r="B11" s="1">
        <v>9</v>
      </c>
      <c r="C11" s="1">
        <v>16</v>
      </c>
      <c r="D11" s="1" t="s">
        <v>6</v>
      </c>
      <c r="E11" s="1" t="s">
        <v>16</v>
      </c>
      <c r="F11" s="1" t="s">
        <v>2</v>
      </c>
      <c r="H11" s="1" t="str">
        <f>GetSortedUniquePitchClasses(GetPitchClasses(CONCATENATE(D11, E11, F11, G11)))</f>
        <v>AC#E</v>
      </c>
      <c r="I11" s="1" t="str">
        <f ca="1">IF(AND(ISNA(VLOOKUP(H11, Chords!K$2:K$169, 0, FALSE)), ISNA(VLOOKUP(H11, Chords!O$2:O$169, 0, FALSE))), "", "Yes")</f>
        <v>Yes</v>
      </c>
      <c r="J11" s="1" t="str">
        <f t="shared" ca="1" si="0"/>
        <v/>
      </c>
      <c r="K11" s="1" t="str">
        <f t="shared" si="1"/>
        <v/>
      </c>
      <c r="L11" s="1" t="str">
        <f t="shared" si="2"/>
        <v/>
      </c>
      <c r="M11" s="1" t="str">
        <f t="shared" si="3"/>
        <v/>
      </c>
      <c r="N11" s="1" t="str">
        <f t="shared" si="4"/>
        <v>AC#EG#</v>
      </c>
      <c r="O11" s="1" t="str">
        <f ca="1">IF(M11="Merged", "", IF(AND(ISNA(VLOOKUP(N11, Chords!K$2:K$169, 0, FALSE)), ISNA(VLOOKUP(N11, Chords!O$2:O$169, 0, FALSE))), "", "Yes"))</f>
        <v/>
      </c>
      <c r="P11" s="1" t="str">
        <f t="shared" ca="1" si="5"/>
        <v/>
      </c>
    </row>
    <row r="12" spans="1:16">
      <c r="A12" s="1">
        <v>11</v>
      </c>
      <c r="B12" s="1">
        <v>9</v>
      </c>
      <c r="C12" s="1">
        <v>16</v>
      </c>
      <c r="F12" s="1" t="s">
        <v>19</v>
      </c>
      <c r="H12" s="1" t="str">
        <f>GetSortedUniquePitchClasses(GetPitchClasses(CONCATENATE(D12, E12, F12, G12)))</f>
        <v>G#</v>
      </c>
      <c r="I12" s="1" t="str">
        <f ca="1">IF(AND(ISNA(VLOOKUP(H12, Chords!K$2:K$169, 0, FALSE)), ISNA(VLOOKUP(H12, Chords!O$2:O$169, 0, FALSE))), "", "Yes")</f>
        <v/>
      </c>
      <c r="J12" s="1" t="str">
        <f t="shared" ca="1" si="0"/>
        <v/>
      </c>
      <c r="K12" s="1" t="str">
        <f t="shared" si="1"/>
        <v/>
      </c>
      <c r="L12" s="1" t="str">
        <f t="shared" si="2"/>
        <v>Yes</v>
      </c>
      <c r="M12" s="1" t="str">
        <f t="shared" si="3"/>
        <v/>
      </c>
      <c r="N12" s="1" t="str">
        <f t="shared" si="4"/>
        <v>AC#EG#</v>
      </c>
      <c r="O12" s="1" t="str">
        <f ca="1">IF(M12="Merged", "", IF(AND(ISNA(VLOOKUP(N12, Chords!K$2:K$169, 0, FALSE)), ISNA(VLOOKUP(N12, Chords!O$2:O$169, 0, FALSE))), "", "Yes"))</f>
        <v/>
      </c>
      <c r="P12" s="1" t="str">
        <f t="shared" ca="1" si="5"/>
        <v/>
      </c>
    </row>
    <row r="13" spans="1:16">
      <c r="A13" s="1">
        <v>12</v>
      </c>
      <c r="B13" s="1">
        <v>9</v>
      </c>
      <c r="C13" s="1">
        <v>16</v>
      </c>
      <c r="F13" s="1" t="s">
        <v>2</v>
      </c>
      <c r="H13" s="1" t="str">
        <f>GetSortedUniquePitchClasses(GetPitchClasses(CONCATENATE(D13, E13, F13, G13)))</f>
        <v>A</v>
      </c>
      <c r="I13" s="1" t="str">
        <f ca="1">IF(AND(ISNA(VLOOKUP(H13, Chords!K$2:K$169, 0, FALSE)), ISNA(VLOOKUP(H13, Chords!O$2:O$169, 0, FALSE))), "", "Yes")</f>
        <v/>
      </c>
      <c r="J13" s="1" t="str">
        <f t="shared" ca="1" si="0"/>
        <v/>
      </c>
      <c r="K13" s="1" t="str">
        <f t="shared" si="1"/>
        <v/>
      </c>
      <c r="L13" s="1" t="str">
        <f t="shared" si="2"/>
        <v>Yes</v>
      </c>
      <c r="M13" s="1" t="str">
        <f t="shared" si="3"/>
        <v/>
      </c>
      <c r="N13" s="1" t="str">
        <f t="shared" si="4"/>
        <v>AG#</v>
      </c>
      <c r="O13" s="1" t="str">
        <f ca="1">IF(M13="Merged", "", IF(AND(ISNA(VLOOKUP(N13, Chords!K$2:K$169, 0, FALSE)), ISNA(VLOOKUP(N13, Chords!O$2:O$169, 0, FALSE))), "", "Yes"))</f>
        <v/>
      </c>
      <c r="P13" s="1" t="str">
        <f t="shared" ca="1" si="5"/>
        <v/>
      </c>
    </row>
    <row r="14" spans="1:16">
      <c r="A14" s="1">
        <v>13</v>
      </c>
      <c r="B14" s="1">
        <v>9</v>
      </c>
      <c r="C14" s="1">
        <v>16</v>
      </c>
      <c r="F14" s="1" t="s">
        <v>19</v>
      </c>
      <c r="H14" s="1" t="str">
        <f>GetSortedUniquePitchClasses(GetPitchClasses(CONCATENATE(D14, E14, F14, G14)))</f>
        <v>G#</v>
      </c>
      <c r="I14" s="1" t="str">
        <f ca="1">IF(AND(ISNA(VLOOKUP(H14, Chords!K$2:K$169, 0, FALSE)), ISNA(VLOOKUP(H14, Chords!O$2:O$169, 0, FALSE))), "", "Yes")</f>
        <v/>
      </c>
      <c r="J14" s="1" t="str">
        <f t="shared" ca="1" si="0"/>
        <v/>
      </c>
      <c r="K14" s="1" t="str">
        <f t="shared" si="1"/>
        <v/>
      </c>
      <c r="L14" s="1" t="str">
        <f t="shared" si="2"/>
        <v>Yes</v>
      </c>
      <c r="M14" s="1" t="str">
        <f t="shared" si="3"/>
        <v/>
      </c>
      <c r="N14" s="1" t="str">
        <f t="shared" si="4"/>
        <v>AG#</v>
      </c>
      <c r="O14" s="1" t="str">
        <f ca="1">IF(M14="Merged", "", IF(AND(ISNA(VLOOKUP(N14, Chords!K$2:K$169, 0, FALSE)), ISNA(VLOOKUP(N14, Chords!O$2:O$169, 0, FALSE))), "", "Yes"))</f>
        <v/>
      </c>
      <c r="P14" s="1" t="str">
        <f t="shared" ca="1" si="5"/>
        <v/>
      </c>
    </row>
    <row r="15" spans="1:16">
      <c r="A15" s="1">
        <v>14</v>
      </c>
      <c r="B15" s="1">
        <v>9</v>
      </c>
      <c r="C15" s="1">
        <v>16</v>
      </c>
      <c r="F15" s="1" t="s">
        <v>2</v>
      </c>
      <c r="H15" s="1" t="str">
        <f>GetSortedUniquePitchClasses(GetPitchClasses(CONCATENATE(D15, E15, F15, G15)))</f>
        <v>A</v>
      </c>
      <c r="I15" s="1" t="str">
        <f ca="1">IF(AND(ISNA(VLOOKUP(H15, Chords!K$2:K$169, 0, FALSE)), ISNA(VLOOKUP(H15, Chords!O$2:O$169, 0, FALSE))), "", "Yes")</f>
        <v/>
      </c>
      <c r="J15" s="1" t="str">
        <f t="shared" ca="1" si="0"/>
        <v/>
      </c>
      <c r="K15" s="1" t="str">
        <f t="shared" si="1"/>
        <v/>
      </c>
      <c r="L15" s="1" t="str">
        <f t="shared" si="2"/>
        <v>Yes</v>
      </c>
      <c r="M15" s="1" t="str">
        <f t="shared" si="3"/>
        <v/>
      </c>
      <c r="N15" s="1" t="str">
        <f t="shared" si="4"/>
        <v>AEG#</v>
      </c>
      <c r="O15" s="1" t="str">
        <f ca="1">IF(M15="Merged", "", IF(AND(ISNA(VLOOKUP(N15, Chords!K$2:K$169, 0, FALSE)), ISNA(VLOOKUP(N15, Chords!O$2:O$169, 0, FALSE))), "", "Yes"))</f>
        <v/>
      </c>
      <c r="P15" s="1" t="str">
        <f t="shared" ca="1" si="5"/>
        <v/>
      </c>
    </row>
    <row r="16" spans="1:16">
      <c r="A16" s="1">
        <v>15</v>
      </c>
      <c r="B16" s="1">
        <v>9</v>
      </c>
      <c r="C16" s="1">
        <v>16</v>
      </c>
      <c r="F16" s="1" t="s">
        <v>16</v>
      </c>
      <c r="H16" s="1" t="str">
        <f>GetSortedUniquePitchClasses(GetPitchClasses(CONCATENATE(D16, E16, F16, G16)))</f>
        <v>E</v>
      </c>
      <c r="I16" s="1" t="str">
        <f ca="1">IF(AND(ISNA(VLOOKUP(H16, Chords!K$2:K$169, 0, FALSE)), ISNA(VLOOKUP(H16, Chords!O$2:O$169, 0, FALSE))), "", "Yes")</f>
        <v/>
      </c>
      <c r="J16" s="1" t="str">
        <f t="shared" ca="1" si="0"/>
        <v/>
      </c>
      <c r="K16" s="1" t="str">
        <f t="shared" si="1"/>
        <v/>
      </c>
      <c r="L16" s="1" t="str">
        <f t="shared" si="2"/>
        <v>Yes</v>
      </c>
      <c r="M16" s="1" t="str">
        <f t="shared" si="3"/>
        <v/>
      </c>
      <c r="N16" s="1" t="str">
        <f t="shared" si="4"/>
        <v>AC#E</v>
      </c>
      <c r="O16" s="1" t="str">
        <f ca="1">IF(M16="Merged", "", IF(AND(ISNA(VLOOKUP(N16, Chords!K$2:K$169, 0, FALSE)), ISNA(VLOOKUP(N16, Chords!O$2:O$169, 0, FALSE))), "", "Yes"))</f>
        <v>Yes</v>
      </c>
      <c r="P16" s="1" t="str">
        <f t="shared" ca="1" si="5"/>
        <v>AC#E</v>
      </c>
    </row>
    <row r="17" spans="1:16" s="2" customFormat="1" ht="17.25" thickBot="1">
      <c r="A17" s="2">
        <v>16</v>
      </c>
      <c r="B17" s="2">
        <v>9</v>
      </c>
      <c r="C17" s="2">
        <v>16</v>
      </c>
      <c r="F17" s="2" t="s">
        <v>24</v>
      </c>
      <c r="H17" s="2" t="str">
        <f>GetSortedUniquePitchClasses(GetPitchClasses(CONCATENATE(D17, E17, F17, G17)))</f>
        <v>C#</v>
      </c>
      <c r="I17" s="2" t="str">
        <f ca="1">IF(AND(ISNA(VLOOKUP(H17, Chords!K$2:K$169, 0, FALSE)), ISNA(VLOOKUP(H17, Chords!O$2:O$169, 0, FALSE))), "", "Yes")</f>
        <v/>
      </c>
      <c r="J17" s="2" t="str">
        <f t="shared" ca="1" si="0"/>
        <v/>
      </c>
      <c r="K17" s="2" t="str">
        <f t="shared" si="1"/>
        <v/>
      </c>
      <c r="L17" s="2" t="str">
        <f t="shared" si="2"/>
        <v>Yes</v>
      </c>
      <c r="M17" s="2" t="str">
        <f t="shared" si="3"/>
        <v/>
      </c>
      <c r="N17" s="2" t="str">
        <f t="shared" si="4"/>
        <v>C#E</v>
      </c>
      <c r="O17" s="2" t="str">
        <f ca="1">IF(M17="Merged", "", IF(AND(ISNA(VLOOKUP(N17, Chords!K$2:K$169, 0, FALSE)), ISNA(VLOOKUP(N17, Chords!O$2:O$169, 0, FALSE))), "", "Yes"))</f>
        <v/>
      </c>
      <c r="P17" s="2" t="str">
        <f t="shared" ca="1" si="5"/>
        <v/>
      </c>
    </row>
    <row r="18" spans="1:16">
      <c r="A18" s="1">
        <v>17</v>
      </c>
      <c r="B18" s="1">
        <v>17</v>
      </c>
      <c r="C18" s="1">
        <v>24</v>
      </c>
      <c r="D18" s="1" t="s">
        <v>2</v>
      </c>
      <c r="F18" s="1" t="s">
        <v>112</v>
      </c>
      <c r="H18" s="1" t="str">
        <f>GetSortedUniquePitchClasses(GetPitchClasses(CONCATENATE(D18, E18, F18, G18)))</f>
        <v>A</v>
      </c>
      <c r="I18" s="1" t="str">
        <f ca="1">IF(AND(ISNA(VLOOKUP(H18, Chords!K$2:K$169, 0, FALSE)), ISNA(VLOOKUP(H18, Chords!O$2:O$169, 0, FALSE))), "", "Yes")</f>
        <v/>
      </c>
      <c r="J18" s="1" t="str">
        <f t="shared" ca="1" si="0"/>
        <v/>
      </c>
      <c r="K18" s="1" t="str">
        <f t="shared" si="1"/>
        <v/>
      </c>
      <c r="L18" s="1" t="str">
        <f t="shared" si="2"/>
        <v>Yes</v>
      </c>
      <c r="M18" s="1" t="str">
        <f t="shared" si="3"/>
        <v/>
      </c>
      <c r="N18" s="1" t="str">
        <f t="shared" si="4"/>
        <v>AC#</v>
      </c>
      <c r="O18" s="1" t="str">
        <f ca="1">IF(M18="Merged", "", IF(AND(ISNA(VLOOKUP(N18, Chords!K$2:K$169, 0, FALSE)), ISNA(VLOOKUP(N18, Chords!O$2:O$169, 0, FALSE))), "", "Yes"))</f>
        <v/>
      </c>
      <c r="P18" s="1" t="str">
        <f t="shared" ca="1" si="5"/>
        <v/>
      </c>
    </row>
    <row r="19" spans="1:16">
      <c r="A19" s="1">
        <v>18</v>
      </c>
      <c r="B19" s="1">
        <v>17</v>
      </c>
      <c r="C19" s="1">
        <v>24</v>
      </c>
      <c r="D19" s="1" t="s">
        <v>6</v>
      </c>
      <c r="F19" s="1" t="s">
        <v>112</v>
      </c>
      <c r="H19" s="1" t="str">
        <f>GetSortedUniquePitchClasses(GetPitchClasses(CONCATENATE(D19, E19, F19, G19)))</f>
        <v>AC#</v>
      </c>
      <c r="I19" s="1" t="str">
        <f ca="1">IF(AND(ISNA(VLOOKUP(H19, Chords!K$2:K$169, 0, FALSE)), ISNA(VLOOKUP(H19, Chords!O$2:O$169, 0, FALSE))), "", "Yes")</f>
        <v/>
      </c>
      <c r="J19" s="1" t="str">
        <f t="shared" ca="1" si="0"/>
        <v/>
      </c>
      <c r="K19" s="1" t="str">
        <f t="shared" si="1"/>
        <v>Yes</v>
      </c>
      <c r="L19" s="1" t="str">
        <f t="shared" si="2"/>
        <v/>
      </c>
      <c r="M19" s="1" t="str">
        <f t="shared" si="3"/>
        <v/>
      </c>
      <c r="N19" s="1" t="str">
        <f t="shared" si="4"/>
        <v>AC#E</v>
      </c>
      <c r="O19" s="1" t="str">
        <f ca="1">IF(M19="Merged", "", IF(AND(ISNA(VLOOKUP(N19, Chords!K$2:K$169, 0, FALSE)), ISNA(VLOOKUP(N19, Chords!O$2:O$169, 0, FALSE))), "", "Yes"))</f>
        <v>Yes</v>
      </c>
      <c r="P19" s="1" t="str">
        <f t="shared" ca="1" si="5"/>
        <v>AC#E</v>
      </c>
    </row>
    <row r="20" spans="1:16">
      <c r="A20" s="1">
        <v>19</v>
      </c>
      <c r="B20" s="1">
        <v>17</v>
      </c>
      <c r="C20" s="1">
        <v>24</v>
      </c>
      <c r="D20" s="1" t="s">
        <v>7</v>
      </c>
      <c r="H20" s="1" t="str">
        <f>GetSortedUniquePitchClasses(GetPitchClasses(CONCATENATE(D20, E20, F20, G20)))</f>
        <v>E</v>
      </c>
      <c r="I20" s="1" t="str">
        <f ca="1">IF(AND(ISNA(VLOOKUP(H20, Chords!K$2:K$169, 0, FALSE)), ISNA(VLOOKUP(H20, Chords!O$2:O$169, 0, FALSE))), "", "Yes")</f>
        <v/>
      </c>
      <c r="J20" s="1" t="str">
        <f t="shared" ca="1" si="0"/>
        <v/>
      </c>
      <c r="K20" s="1" t="str">
        <f t="shared" si="1"/>
        <v/>
      </c>
      <c r="L20" s="1" t="str">
        <f t="shared" si="2"/>
        <v>Yes</v>
      </c>
      <c r="M20" s="1" t="str">
        <f t="shared" si="3"/>
        <v/>
      </c>
      <c r="N20" s="1" t="str">
        <f t="shared" si="4"/>
        <v>AC#DE</v>
      </c>
      <c r="O20" s="1" t="str">
        <f ca="1">IF(M20="Merged", "", IF(AND(ISNA(VLOOKUP(N20, Chords!K$2:K$169, 0, FALSE)), ISNA(VLOOKUP(N20, Chords!O$2:O$169, 0, FALSE))), "", "Yes"))</f>
        <v/>
      </c>
      <c r="P20" s="1" t="str">
        <f t="shared" ca="1" si="5"/>
        <v/>
      </c>
    </row>
    <row r="21" spans="1:16">
      <c r="A21" s="1">
        <v>20</v>
      </c>
      <c r="B21" s="1">
        <v>17</v>
      </c>
      <c r="C21" s="1">
        <v>24</v>
      </c>
      <c r="D21" s="1" t="s">
        <v>5</v>
      </c>
      <c r="H21" s="1" t="str">
        <f>GetSortedUniquePitchClasses(GetPitchClasses(CONCATENATE(D21, E21, F21, G21)))</f>
        <v>D</v>
      </c>
      <c r="I21" s="1" t="str">
        <f ca="1">IF(AND(ISNA(VLOOKUP(H21, Chords!K$2:K$169, 0, FALSE)), ISNA(VLOOKUP(H21, Chords!O$2:O$169, 0, FALSE))), "", "Yes")</f>
        <v/>
      </c>
      <c r="J21" s="1" t="str">
        <f t="shared" ca="1" si="0"/>
        <v/>
      </c>
      <c r="K21" s="1" t="str">
        <f t="shared" si="1"/>
        <v/>
      </c>
      <c r="L21" s="1" t="str">
        <f t="shared" si="2"/>
        <v>Yes</v>
      </c>
      <c r="M21" s="1" t="str">
        <f t="shared" si="3"/>
        <v/>
      </c>
      <c r="N21" s="1" t="str">
        <f t="shared" si="4"/>
        <v>AC#DE</v>
      </c>
      <c r="O21" s="1" t="str">
        <f ca="1">IF(M21="Merged", "", IF(AND(ISNA(VLOOKUP(N21, Chords!K$2:K$169, 0, FALSE)), ISNA(VLOOKUP(N21, Chords!O$2:O$169, 0, FALSE))), "", "Yes"))</f>
        <v/>
      </c>
      <c r="P21" s="1" t="str">
        <f t="shared" ca="1" si="5"/>
        <v/>
      </c>
    </row>
    <row r="22" spans="1:16">
      <c r="A22" s="1">
        <v>21</v>
      </c>
      <c r="B22" s="1">
        <v>17</v>
      </c>
      <c r="C22" s="1">
        <v>24</v>
      </c>
      <c r="D22" s="1" t="s">
        <v>6</v>
      </c>
      <c r="E22" s="1" t="s">
        <v>2</v>
      </c>
      <c r="F22" s="1" t="s">
        <v>25</v>
      </c>
      <c r="H22" s="1" t="str">
        <f>GetSortedUniquePitchClasses(GetPitchClasses(CONCATENATE(D22, E22, F22, G22)))</f>
        <v>AC#</v>
      </c>
      <c r="I22" s="1" t="str">
        <f ca="1">IF(AND(ISNA(VLOOKUP(H22, Chords!K$2:K$169, 0, FALSE)), ISNA(VLOOKUP(H22, Chords!O$2:O$169, 0, FALSE))), "", "Yes")</f>
        <v/>
      </c>
      <c r="J22" s="1" t="str">
        <f t="shared" ca="1" si="0"/>
        <v/>
      </c>
      <c r="K22" s="1" t="str">
        <f t="shared" si="1"/>
        <v>Yes</v>
      </c>
      <c r="L22" s="1" t="str">
        <f t="shared" si="2"/>
        <v/>
      </c>
      <c r="M22" s="1" t="str">
        <f t="shared" si="3"/>
        <v/>
      </c>
      <c r="N22" s="1" t="str">
        <f t="shared" si="4"/>
        <v>AC#DE</v>
      </c>
      <c r="O22" s="1" t="str">
        <f ca="1">IF(M22="Merged", "", IF(AND(ISNA(VLOOKUP(N22, Chords!K$2:K$169, 0, FALSE)), ISNA(VLOOKUP(N22, Chords!O$2:O$169, 0, FALSE))), "", "Yes"))</f>
        <v/>
      </c>
      <c r="P22" s="1" t="str">
        <f t="shared" ca="1" si="5"/>
        <v/>
      </c>
    </row>
    <row r="23" spans="1:16">
      <c r="A23" s="1">
        <v>22</v>
      </c>
      <c r="B23" s="1">
        <v>17</v>
      </c>
      <c r="C23" s="1">
        <v>24</v>
      </c>
      <c r="D23" s="1" t="s">
        <v>7</v>
      </c>
      <c r="E23" s="1" t="s">
        <v>6</v>
      </c>
      <c r="F23" s="1" t="s">
        <v>24</v>
      </c>
      <c r="H23" s="1" t="str">
        <f>GetSortedUniquePitchClasses(GetPitchClasses(CONCATENATE(D23, E23, F23, G23)))</f>
        <v>C#E</v>
      </c>
      <c r="I23" s="1" t="str">
        <f ca="1">IF(AND(ISNA(VLOOKUP(H23, Chords!K$2:K$169, 0, FALSE)), ISNA(VLOOKUP(H23, Chords!O$2:O$169, 0, FALSE))), "", "Yes")</f>
        <v/>
      </c>
      <c r="J23" s="1" t="str">
        <f t="shared" ca="1" si="0"/>
        <v/>
      </c>
      <c r="K23" s="1" t="str">
        <f t="shared" si="1"/>
        <v>Yes</v>
      </c>
      <c r="L23" s="1" t="str">
        <f t="shared" si="2"/>
        <v/>
      </c>
      <c r="M23" s="1" t="str">
        <f t="shared" si="3"/>
        <v/>
      </c>
      <c r="N23" s="1" t="str">
        <f t="shared" si="4"/>
        <v>AC#EF</v>
      </c>
      <c r="O23" s="1" t="str">
        <f ca="1">IF(M23="Merged", "", IF(AND(ISNA(VLOOKUP(N23, Chords!K$2:K$169, 0, FALSE)), ISNA(VLOOKUP(N23, Chords!O$2:O$169, 0, FALSE))), "", "Yes"))</f>
        <v/>
      </c>
      <c r="P23" s="1" t="str">
        <f t="shared" ca="1" si="5"/>
        <v/>
      </c>
    </row>
    <row r="24" spans="1:16">
      <c r="A24" s="1">
        <v>23</v>
      </c>
      <c r="B24" s="1">
        <v>17</v>
      </c>
      <c r="C24" s="1">
        <v>24</v>
      </c>
      <c r="D24" s="1" t="s">
        <v>8</v>
      </c>
      <c r="E24" s="1" t="s">
        <v>4</v>
      </c>
      <c r="F24" s="1" t="s">
        <v>1</v>
      </c>
      <c r="H24" s="1" t="str">
        <f>GetSortedUniquePitchClasses(GetPitchClasses(CONCATENATE(D24, E24, F24, G24)))</f>
        <v>AF</v>
      </c>
      <c r="I24" s="1" t="str">
        <f ca="1">IF(AND(ISNA(VLOOKUP(H24, Chords!K$2:K$169, 0, FALSE)), ISNA(VLOOKUP(H24, Chords!O$2:O$169, 0, FALSE))), "", "Yes")</f>
        <v/>
      </c>
      <c r="J24" s="1" t="str">
        <f t="shared" ca="1" si="0"/>
        <v/>
      </c>
      <c r="K24" s="1" t="str">
        <f t="shared" si="1"/>
        <v>Yes</v>
      </c>
      <c r="L24" s="1" t="str">
        <f t="shared" si="2"/>
        <v/>
      </c>
      <c r="M24" s="1" t="str">
        <f t="shared" si="3"/>
        <v/>
      </c>
      <c r="N24" s="1" t="str">
        <f t="shared" si="4"/>
        <v>AC#EFG</v>
      </c>
      <c r="O24" s="1" t="str">
        <f ca="1">IF(M24="Merged", "", IF(AND(ISNA(VLOOKUP(N24, Chords!K$2:K$169, 0, FALSE)), ISNA(VLOOKUP(N24, Chords!O$2:O$169, 0, FALSE))), "", "Yes"))</f>
        <v/>
      </c>
      <c r="P24" s="1" t="str">
        <f t="shared" ca="1" si="5"/>
        <v/>
      </c>
    </row>
    <row r="25" spans="1:16" s="2" customFormat="1" ht="17.25" thickBot="1">
      <c r="A25" s="2">
        <v>24</v>
      </c>
      <c r="B25" s="2">
        <v>17</v>
      </c>
      <c r="C25" s="2">
        <v>24</v>
      </c>
      <c r="D25" s="2" t="s">
        <v>9</v>
      </c>
      <c r="E25" s="2" t="s">
        <v>7</v>
      </c>
      <c r="F25" s="2" t="s">
        <v>16</v>
      </c>
      <c r="H25" s="2" t="str">
        <f>GetSortedUniquePitchClasses(GetPitchClasses(CONCATENATE(D25, E25, F25, G25)))</f>
        <v>EG</v>
      </c>
      <c r="I25" s="2" t="str">
        <f ca="1">IF(AND(ISNA(VLOOKUP(H25, Chords!K$2:K$169, 0, FALSE)), ISNA(VLOOKUP(H25, Chords!O$2:O$169, 0, FALSE))), "", "Yes")</f>
        <v/>
      </c>
      <c r="J25" s="2" t="str">
        <f t="shared" ca="1" si="0"/>
        <v/>
      </c>
      <c r="K25" s="2" t="str">
        <f t="shared" si="1"/>
        <v>Yes</v>
      </c>
      <c r="L25" s="2" t="str">
        <f t="shared" si="2"/>
        <v/>
      </c>
      <c r="M25" s="2" t="str">
        <f t="shared" si="3"/>
        <v/>
      </c>
      <c r="N25" s="2" t="str">
        <f t="shared" si="4"/>
        <v>AEFG</v>
      </c>
      <c r="O25" s="2" t="str">
        <f ca="1">IF(M25="Merged", "", IF(AND(ISNA(VLOOKUP(N25, Chords!K$2:K$169, 0, FALSE)), ISNA(VLOOKUP(N25, Chords!O$2:O$169, 0, FALSE))), "", "Yes"))</f>
        <v/>
      </c>
      <c r="P25" s="2" t="str">
        <f t="shared" ca="1" si="5"/>
        <v/>
      </c>
    </row>
    <row r="26" spans="1:16">
      <c r="A26" s="1">
        <v>25</v>
      </c>
      <c r="B26" s="1">
        <v>25</v>
      </c>
      <c r="C26" s="1">
        <v>32</v>
      </c>
      <c r="D26" s="1" t="s">
        <v>4</v>
      </c>
      <c r="E26" s="1" t="s">
        <v>5</v>
      </c>
      <c r="G26" s="1" t="s">
        <v>39</v>
      </c>
      <c r="H26" s="1" t="str">
        <f>GetSortedUniquePitchClasses(GetPitchClasses(CONCATENATE(D26, E26, F26, G26)))</f>
        <v>C#DF</v>
      </c>
      <c r="I26" s="1" t="str">
        <f ca="1">IF(AND(ISNA(VLOOKUP(H26, Chords!K$2:K$169, 0, FALSE)), ISNA(VLOOKUP(H26, Chords!O$2:O$169, 0, FALSE))), "", "Yes")</f>
        <v/>
      </c>
      <c r="J26" s="1" t="str">
        <f t="shared" ca="1" si="0"/>
        <v>Yes</v>
      </c>
      <c r="K26" s="1" t="str">
        <f t="shared" si="1"/>
        <v/>
      </c>
      <c r="L26" s="1" t="str">
        <f t="shared" si="2"/>
        <v/>
      </c>
      <c r="M26" s="1" t="str">
        <f t="shared" si="3"/>
        <v/>
      </c>
      <c r="N26" s="1" t="str">
        <f t="shared" si="4"/>
        <v>C#DF</v>
      </c>
      <c r="O26" s="1" t="str">
        <f ca="1">IF(M26="Merged", "", IF(AND(ISNA(VLOOKUP(N26, Chords!K$2:K$169, 0, FALSE)), ISNA(VLOOKUP(N26, Chords!O$2:O$169, 0, FALSE))), "", "Yes"))</f>
        <v/>
      </c>
      <c r="P26" s="1" t="str">
        <f t="shared" ca="1" si="5"/>
        <v/>
      </c>
    </row>
    <row r="27" spans="1:16">
      <c r="A27" s="1">
        <v>26</v>
      </c>
      <c r="B27" s="1">
        <v>25</v>
      </c>
      <c r="C27" s="1">
        <v>32</v>
      </c>
      <c r="D27" s="1" t="s">
        <v>4</v>
      </c>
      <c r="E27" s="1" t="s">
        <v>5</v>
      </c>
      <c r="G27" s="1" t="s">
        <v>31</v>
      </c>
      <c r="H27" s="1" t="str">
        <f>GetSortedUniquePitchClasses(GetPitchClasses(CONCATENATE(D27, E27, F27, G27)))</f>
        <v>DF</v>
      </c>
      <c r="I27" s="1" t="str">
        <f ca="1">IF(AND(ISNA(VLOOKUP(H27, Chords!K$2:K$169, 0, FALSE)), ISNA(VLOOKUP(H27, Chords!O$2:O$169, 0, FALSE))), "", "Yes")</f>
        <v/>
      </c>
      <c r="J27" s="1" t="str">
        <f t="shared" ca="1" si="0"/>
        <v/>
      </c>
      <c r="K27" s="1" t="str">
        <f t="shared" si="1"/>
        <v>Yes</v>
      </c>
      <c r="L27" s="1" t="str">
        <f t="shared" si="2"/>
        <v/>
      </c>
      <c r="M27" s="1" t="str">
        <f t="shared" si="3"/>
        <v/>
      </c>
      <c r="N27" s="1" t="str">
        <f t="shared" si="4"/>
        <v>C#DF</v>
      </c>
      <c r="O27" s="1" t="str">
        <f ca="1">IF(M27="Merged", "", IF(AND(ISNA(VLOOKUP(N27, Chords!K$2:K$169, 0, FALSE)), ISNA(VLOOKUP(N27, Chords!O$2:O$169, 0, FALSE))), "", "Yes"))</f>
        <v/>
      </c>
      <c r="P27" s="1" t="str">
        <f t="shared" ca="1" si="5"/>
        <v/>
      </c>
    </row>
    <row r="28" spans="1:16">
      <c r="A28" s="1">
        <v>27</v>
      </c>
      <c r="B28" s="1">
        <v>25</v>
      </c>
      <c r="C28" s="1">
        <v>32</v>
      </c>
      <c r="G28" s="1" t="s">
        <v>39</v>
      </c>
      <c r="H28" s="1" t="str">
        <f>GetSortedUniquePitchClasses(GetPitchClasses(CONCATENATE(D28, E28, F28, G28)))</f>
        <v>C#</v>
      </c>
      <c r="I28" s="1" t="str">
        <f ca="1">IF(AND(ISNA(VLOOKUP(H28, Chords!K$2:K$169, 0, FALSE)), ISNA(VLOOKUP(H28, Chords!O$2:O$169, 0, FALSE))), "", "Yes")</f>
        <v/>
      </c>
      <c r="J28" s="1" t="str">
        <f t="shared" ca="1" si="0"/>
        <v/>
      </c>
      <c r="K28" s="1" t="str">
        <f t="shared" si="1"/>
        <v/>
      </c>
      <c r="L28" s="1" t="str">
        <f t="shared" si="2"/>
        <v>Yes</v>
      </c>
      <c r="M28" s="1" t="str">
        <f t="shared" si="3"/>
        <v/>
      </c>
      <c r="N28" s="1" t="str">
        <f t="shared" si="4"/>
        <v>C#DF</v>
      </c>
      <c r="O28" s="1" t="str">
        <f ca="1">IF(M28="Merged", "", IF(AND(ISNA(VLOOKUP(N28, Chords!K$2:K$169, 0, FALSE)), ISNA(VLOOKUP(N28, Chords!O$2:O$169, 0, FALSE))), "", "Yes"))</f>
        <v/>
      </c>
      <c r="P28" s="1" t="str">
        <f t="shared" ca="1" si="5"/>
        <v/>
      </c>
    </row>
    <row r="29" spans="1:16">
      <c r="A29" s="1">
        <v>28</v>
      </c>
      <c r="B29" s="1">
        <v>25</v>
      </c>
      <c r="C29" s="1">
        <v>32</v>
      </c>
      <c r="G29" s="1" t="s">
        <v>31</v>
      </c>
      <c r="H29" s="1" t="str">
        <f>GetSortedUniquePitchClasses(GetPitchClasses(CONCATENATE(D29, E29, F29, G29)))</f>
        <v>D</v>
      </c>
      <c r="I29" s="1" t="str">
        <f ca="1">IF(AND(ISNA(VLOOKUP(H29, Chords!K$2:K$169, 0, FALSE)), ISNA(VLOOKUP(H29, Chords!O$2:O$169, 0, FALSE))), "", "Yes")</f>
        <v/>
      </c>
      <c r="J29" s="1" t="str">
        <f t="shared" ca="1" si="0"/>
        <v/>
      </c>
      <c r="K29" s="1" t="str">
        <f t="shared" si="1"/>
        <v/>
      </c>
      <c r="L29" s="1" t="str">
        <f t="shared" si="2"/>
        <v>Yes</v>
      </c>
      <c r="M29" s="1" t="str">
        <f t="shared" si="3"/>
        <v/>
      </c>
      <c r="N29" s="1" t="str">
        <f t="shared" si="4"/>
        <v>C#D</v>
      </c>
      <c r="O29" s="1" t="str">
        <f ca="1">IF(M29="Merged", "", IF(AND(ISNA(VLOOKUP(N29, Chords!K$2:K$169, 0, FALSE)), ISNA(VLOOKUP(N29, Chords!O$2:O$169, 0, FALSE))), "", "Yes"))</f>
        <v/>
      </c>
      <c r="P29" s="1" t="str">
        <f t="shared" ca="1" si="5"/>
        <v/>
      </c>
    </row>
    <row r="30" spans="1:16">
      <c r="A30" s="1">
        <v>29</v>
      </c>
      <c r="B30" s="1">
        <v>25</v>
      </c>
      <c r="C30" s="1">
        <v>32</v>
      </c>
      <c r="G30" s="1" t="s">
        <v>39</v>
      </c>
      <c r="H30" s="1" t="str">
        <f>GetSortedUniquePitchClasses(GetPitchClasses(CONCATENATE(D30, E30, F30, G30)))</f>
        <v>C#</v>
      </c>
      <c r="I30" s="1" t="str">
        <f ca="1">IF(AND(ISNA(VLOOKUP(H30, Chords!K$2:K$169, 0, FALSE)), ISNA(VLOOKUP(H30, Chords!O$2:O$169, 0, FALSE))), "", "Yes")</f>
        <v/>
      </c>
      <c r="J30" s="1" t="str">
        <f t="shared" ca="1" si="0"/>
        <v/>
      </c>
      <c r="K30" s="1" t="str">
        <f t="shared" si="1"/>
        <v/>
      </c>
      <c r="L30" s="1" t="str">
        <f t="shared" si="2"/>
        <v>Yes</v>
      </c>
      <c r="M30" s="1" t="str">
        <f t="shared" si="3"/>
        <v/>
      </c>
      <c r="N30" s="1" t="str">
        <f t="shared" si="4"/>
        <v>C#D</v>
      </c>
      <c r="O30" s="1" t="str">
        <f ca="1">IF(M30="Merged", "", IF(AND(ISNA(VLOOKUP(N30, Chords!K$2:K$169, 0, FALSE)), ISNA(VLOOKUP(N30, Chords!O$2:O$169, 0, FALSE))), "", "Yes"))</f>
        <v/>
      </c>
      <c r="P30" s="1" t="str">
        <f t="shared" ca="1" si="5"/>
        <v/>
      </c>
    </row>
    <row r="31" spans="1:16">
      <c r="A31" s="1">
        <v>30</v>
      </c>
      <c r="B31" s="1">
        <v>25</v>
      </c>
      <c r="C31" s="1">
        <v>32</v>
      </c>
      <c r="G31" s="1" t="s">
        <v>31</v>
      </c>
      <c r="H31" s="1" t="str">
        <f>GetSortedUniquePitchClasses(GetPitchClasses(CONCATENATE(D31, E31, F31, G31)))</f>
        <v>D</v>
      </c>
      <c r="I31" s="1" t="str">
        <f ca="1">IF(AND(ISNA(VLOOKUP(H31, Chords!K$2:K$169, 0, FALSE)), ISNA(VLOOKUP(H31, Chords!O$2:O$169, 0, FALSE))), "", "Yes")</f>
        <v/>
      </c>
      <c r="J31" s="1" t="str">
        <f t="shared" ca="1" si="0"/>
        <v/>
      </c>
      <c r="K31" s="1" t="str">
        <f t="shared" si="1"/>
        <v/>
      </c>
      <c r="L31" s="1" t="str">
        <f t="shared" si="2"/>
        <v>Yes</v>
      </c>
      <c r="M31" s="1" t="str">
        <f t="shared" si="3"/>
        <v/>
      </c>
      <c r="N31" s="1" t="str">
        <f t="shared" si="4"/>
        <v>AC#D</v>
      </c>
      <c r="O31" s="1" t="str">
        <f ca="1">IF(M31="Merged", "", IF(AND(ISNA(VLOOKUP(N31, Chords!K$2:K$169, 0, FALSE)), ISNA(VLOOKUP(N31, Chords!O$2:O$169, 0, FALSE))), "", "Yes"))</f>
        <v/>
      </c>
      <c r="P31" s="1" t="str">
        <f t="shared" ca="1" si="5"/>
        <v/>
      </c>
    </row>
    <row r="32" spans="1:16">
      <c r="A32" s="1">
        <v>31</v>
      </c>
      <c r="B32" s="1">
        <v>25</v>
      </c>
      <c r="C32" s="1">
        <v>32</v>
      </c>
      <c r="G32" s="1" t="s">
        <v>38</v>
      </c>
      <c r="H32" s="1" t="str">
        <f>GetSortedUniquePitchClasses(GetPitchClasses(CONCATENATE(D32, E32, F32, G32)))</f>
        <v>A</v>
      </c>
      <c r="I32" s="1" t="str">
        <f ca="1">IF(AND(ISNA(VLOOKUP(H32, Chords!K$2:K$169, 0, FALSE)), ISNA(VLOOKUP(H32, Chords!O$2:O$169, 0, FALSE))), "", "Yes")</f>
        <v/>
      </c>
      <c r="J32" s="1" t="str">
        <f t="shared" ca="1" si="0"/>
        <v/>
      </c>
      <c r="K32" s="1" t="str">
        <f t="shared" si="1"/>
        <v/>
      </c>
      <c r="L32" s="1" t="str">
        <f t="shared" si="2"/>
        <v>Yes</v>
      </c>
      <c r="M32" s="1" t="str">
        <f t="shared" si="3"/>
        <v/>
      </c>
      <c r="N32" s="1" t="str">
        <f t="shared" si="4"/>
        <v>ADF</v>
      </c>
      <c r="O32" s="1" t="str">
        <f ca="1">IF(M32="Merged", "", IF(AND(ISNA(VLOOKUP(N32, Chords!K$2:K$169, 0, FALSE)), ISNA(VLOOKUP(N32, Chords!O$2:O$169, 0, FALSE))), "", "Yes"))</f>
        <v>Yes</v>
      </c>
      <c r="P32" s="1" t="str">
        <f t="shared" ca="1" si="5"/>
        <v>ADF</v>
      </c>
    </row>
    <row r="33" spans="1:16" s="2" customFormat="1" ht="17.25" thickBot="1">
      <c r="A33" s="2">
        <v>32</v>
      </c>
      <c r="B33" s="2">
        <v>25</v>
      </c>
      <c r="C33" s="2">
        <v>32</v>
      </c>
      <c r="G33" s="2" t="s">
        <v>40</v>
      </c>
      <c r="H33" s="2" t="str">
        <f>GetSortedUniquePitchClasses(GetPitchClasses(CONCATENATE(D33, E33, F33, G33)))</f>
        <v>F</v>
      </c>
      <c r="I33" s="2" t="str">
        <f ca="1">IF(AND(ISNA(VLOOKUP(H33, Chords!K$2:K$169, 0, FALSE)), ISNA(VLOOKUP(H33, Chords!O$2:O$169, 0, FALSE))), "", "Yes")</f>
        <v/>
      </c>
      <c r="J33" s="2" t="str">
        <f t="shared" ca="1" si="0"/>
        <v/>
      </c>
      <c r="K33" s="2" t="str">
        <f t="shared" si="1"/>
        <v/>
      </c>
      <c r="L33" s="2" t="str">
        <f t="shared" si="2"/>
        <v>Yes</v>
      </c>
      <c r="M33" s="2" t="str">
        <f t="shared" si="3"/>
        <v/>
      </c>
      <c r="N33" s="2" t="str">
        <f t="shared" si="4"/>
        <v>AF</v>
      </c>
      <c r="O33" s="2" t="str">
        <f ca="1">IF(M33="Merged", "", IF(AND(ISNA(VLOOKUP(N33, Chords!K$2:K$169, 0, FALSE)), ISNA(VLOOKUP(N33, Chords!O$2:O$169, 0, FALSE))), "", "Yes"))</f>
        <v/>
      </c>
      <c r="P33" s="2" t="str">
        <f t="shared" ca="1" si="5"/>
        <v/>
      </c>
    </row>
    <row r="34" spans="1:16">
      <c r="A34" s="1">
        <v>33</v>
      </c>
      <c r="B34" s="1">
        <v>33</v>
      </c>
      <c r="C34" s="1">
        <v>40</v>
      </c>
      <c r="E34" s="1" t="s">
        <v>17</v>
      </c>
      <c r="G34" s="1" t="s">
        <v>33</v>
      </c>
      <c r="H34" s="1" t="str">
        <f>GetSortedUniquePitchClasses(GetPitchClasses(CONCATENATE(D34, E34, F34, G34)))</f>
        <v>AD</v>
      </c>
      <c r="I34" s="1" t="str">
        <f ca="1">IF(AND(ISNA(VLOOKUP(H34, Chords!K$2:K$169, 0, FALSE)), ISNA(VLOOKUP(H34, Chords!O$2:O$169, 0, FALSE))), "", "Yes")</f>
        <v/>
      </c>
      <c r="J34" s="1" t="str">
        <f t="shared" ca="1" si="0"/>
        <v/>
      </c>
      <c r="K34" s="1" t="str">
        <f t="shared" si="1"/>
        <v>Yes</v>
      </c>
      <c r="L34" s="1" t="str">
        <f t="shared" si="2"/>
        <v/>
      </c>
      <c r="M34" s="1" t="str">
        <f t="shared" si="3"/>
        <v/>
      </c>
      <c r="N34" s="1" t="str">
        <f t="shared" si="4"/>
        <v>AD</v>
      </c>
      <c r="O34" s="1" t="str">
        <f ca="1">IF(M34="Merged", "", IF(AND(ISNA(VLOOKUP(N34, Chords!K$2:K$169, 0, FALSE)), ISNA(VLOOKUP(N34, Chords!O$2:O$169, 0, FALSE))), "", "Yes"))</f>
        <v/>
      </c>
      <c r="P34" s="1" t="str">
        <f t="shared" ca="1" si="5"/>
        <v/>
      </c>
    </row>
    <row r="35" spans="1:16">
      <c r="A35" s="1">
        <v>34</v>
      </c>
      <c r="B35" s="1">
        <v>33</v>
      </c>
      <c r="C35" s="1">
        <v>40</v>
      </c>
      <c r="E35" s="1" t="s">
        <v>15</v>
      </c>
      <c r="G35" s="1" t="s">
        <v>33</v>
      </c>
      <c r="H35" s="1" t="str">
        <f>GetSortedUniquePitchClasses(GetPitchClasses(CONCATENATE(D35, E35, F35, G35)))</f>
        <v>D</v>
      </c>
      <c r="I35" s="1" t="str">
        <f ca="1">IF(AND(ISNA(VLOOKUP(H35, Chords!K$2:K$169, 0, FALSE)), ISNA(VLOOKUP(H35, Chords!O$2:O$169, 0, FALSE))), "", "Yes")</f>
        <v/>
      </c>
      <c r="J35" s="1" t="str">
        <f t="shared" ca="1" si="0"/>
        <v/>
      </c>
      <c r="K35" s="1" t="str">
        <f t="shared" si="1"/>
        <v/>
      </c>
      <c r="L35" s="1" t="str">
        <f t="shared" si="2"/>
        <v>Yes</v>
      </c>
      <c r="M35" s="1" t="str">
        <f t="shared" si="3"/>
        <v/>
      </c>
      <c r="N35" s="1" t="str">
        <f t="shared" si="4"/>
        <v>ADF</v>
      </c>
      <c r="O35" s="1" t="str">
        <f ca="1">IF(M35="Merged", "", IF(AND(ISNA(VLOOKUP(N35, Chords!K$2:K$169, 0, FALSE)), ISNA(VLOOKUP(N35, Chords!O$2:O$169, 0, FALSE))), "", "Yes"))</f>
        <v>Yes</v>
      </c>
      <c r="P35" s="1" t="str">
        <f t="shared" ca="1" si="5"/>
        <v>ADF</v>
      </c>
    </row>
    <row r="36" spans="1:16">
      <c r="A36" s="1">
        <v>35</v>
      </c>
      <c r="B36" s="1">
        <v>33</v>
      </c>
      <c r="C36" s="1">
        <v>40</v>
      </c>
      <c r="E36" s="1" t="s">
        <v>1</v>
      </c>
      <c r="H36" s="1" t="str">
        <f>GetSortedUniquePitchClasses(GetPitchClasses(CONCATENATE(D36, E36, F36, G36)))</f>
        <v>F</v>
      </c>
      <c r="I36" s="1" t="str">
        <f ca="1">IF(AND(ISNA(VLOOKUP(H36, Chords!K$2:K$169, 0, FALSE)), ISNA(VLOOKUP(H36, Chords!O$2:O$169, 0, FALSE))), "", "Yes")</f>
        <v/>
      </c>
      <c r="J36" s="1" t="str">
        <f t="shared" ca="1" si="0"/>
        <v/>
      </c>
      <c r="K36" s="1" t="str">
        <f t="shared" si="1"/>
        <v/>
      </c>
      <c r="L36" s="1" t="str">
        <f t="shared" si="2"/>
        <v>Yes</v>
      </c>
      <c r="M36" s="1" t="str">
        <f t="shared" si="3"/>
        <v/>
      </c>
      <c r="N36" s="1" t="str">
        <f t="shared" si="4"/>
        <v>DEF</v>
      </c>
      <c r="O36" s="1" t="str">
        <f ca="1">IF(M36="Merged", "", IF(AND(ISNA(VLOOKUP(N36, Chords!K$2:K$169, 0, FALSE)), ISNA(VLOOKUP(N36, Chords!O$2:O$169, 0, FALSE))), "", "Yes"))</f>
        <v/>
      </c>
      <c r="P36" s="1" t="str">
        <f t="shared" ca="1" si="5"/>
        <v/>
      </c>
    </row>
    <row r="37" spans="1:16">
      <c r="A37" s="1">
        <v>36</v>
      </c>
      <c r="B37" s="1">
        <v>33</v>
      </c>
      <c r="C37" s="1">
        <v>40</v>
      </c>
      <c r="E37" s="1" t="s">
        <v>16</v>
      </c>
      <c r="H37" s="1" t="str">
        <f>GetSortedUniquePitchClasses(GetPitchClasses(CONCATENATE(D37, E37, F37, G37)))</f>
        <v>E</v>
      </c>
      <c r="I37" s="1" t="str">
        <f ca="1">IF(AND(ISNA(VLOOKUP(H37, Chords!K$2:K$169, 0, FALSE)), ISNA(VLOOKUP(H37, Chords!O$2:O$169, 0, FALSE))), "", "Yes")</f>
        <v/>
      </c>
      <c r="J37" s="1" t="str">
        <f t="shared" ca="1" si="0"/>
        <v/>
      </c>
      <c r="K37" s="1" t="str">
        <f t="shared" si="1"/>
        <v/>
      </c>
      <c r="L37" s="1" t="str">
        <f t="shared" si="2"/>
        <v>Yes</v>
      </c>
      <c r="M37" s="1" t="str">
        <f t="shared" si="3"/>
        <v/>
      </c>
      <c r="N37" s="1" t="str">
        <f t="shared" si="4"/>
        <v>DEF</v>
      </c>
      <c r="O37" s="1" t="str">
        <f ca="1">IF(M37="Merged", "", IF(AND(ISNA(VLOOKUP(N37, Chords!K$2:K$169, 0, FALSE)), ISNA(VLOOKUP(N37, Chords!O$2:O$169, 0, FALSE))), "", "Yes"))</f>
        <v/>
      </c>
      <c r="P37" s="1" t="str">
        <f t="shared" ca="1" si="5"/>
        <v/>
      </c>
    </row>
    <row r="38" spans="1:16">
      <c r="A38" s="1">
        <v>37</v>
      </c>
      <c r="B38" s="1">
        <v>33</v>
      </c>
      <c r="C38" s="1">
        <v>40</v>
      </c>
      <c r="E38" s="1" t="s">
        <v>0</v>
      </c>
      <c r="H38" s="1" t="str">
        <f>GetSortedUniquePitchClasses(GetPitchClasses(CONCATENATE(D38, E38, F38, G38)))</f>
        <v>D</v>
      </c>
      <c r="I38" s="1" t="str">
        <f ca="1">IF(AND(ISNA(VLOOKUP(H38, Chords!K$2:K$169, 0, FALSE)), ISNA(VLOOKUP(H38, Chords!O$2:O$169, 0, FALSE))), "", "Yes")</f>
        <v/>
      </c>
      <c r="J38" s="1" t="str">
        <f t="shared" ca="1" si="0"/>
        <v/>
      </c>
      <c r="K38" s="1" t="str">
        <f t="shared" si="1"/>
        <v/>
      </c>
      <c r="L38" s="1" t="str">
        <f t="shared" si="2"/>
        <v>Yes</v>
      </c>
      <c r="M38" s="1" t="str">
        <f t="shared" si="3"/>
        <v/>
      </c>
      <c r="N38" s="1" t="str">
        <f t="shared" si="4"/>
        <v>DEF</v>
      </c>
      <c r="O38" s="1" t="str">
        <f ca="1">IF(M38="Merged", "", IF(AND(ISNA(VLOOKUP(N38, Chords!K$2:K$169, 0, FALSE)), ISNA(VLOOKUP(N38, Chords!O$2:O$169, 0, FALSE))), "", "Yes"))</f>
        <v/>
      </c>
      <c r="P38" s="1" t="str">
        <f t="shared" ca="1" si="5"/>
        <v/>
      </c>
    </row>
    <row r="39" spans="1:16">
      <c r="A39" s="1">
        <v>38</v>
      </c>
      <c r="B39" s="1">
        <v>33</v>
      </c>
      <c r="C39" s="1">
        <v>40</v>
      </c>
      <c r="E39" s="1" t="s">
        <v>1</v>
      </c>
      <c r="H39" s="1" t="str">
        <f>GetSortedUniquePitchClasses(GetPitchClasses(CONCATENATE(D39, E39, F39, G39)))</f>
        <v>F</v>
      </c>
      <c r="I39" s="1" t="str">
        <f ca="1">IF(AND(ISNA(VLOOKUP(H39, Chords!K$2:K$169, 0, FALSE)), ISNA(VLOOKUP(H39, Chords!O$2:O$169, 0, FALSE))), "", "Yes")</f>
        <v/>
      </c>
      <c r="J39" s="1" t="str">
        <f t="shared" ca="1" si="0"/>
        <v/>
      </c>
      <c r="K39" s="1" t="str">
        <f t="shared" si="1"/>
        <v/>
      </c>
      <c r="L39" s="1" t="str">
        <f t="shared" si="2"/>
        <v>Yes</v>
      </c>
      <c r="M39" s="1" t="str">
        <f t="shared" si="3"/>
        <v/>
      </c>
      <c r="N39" s="1" t="str">
        <f t="shared" si="4"/>
        <v>BbDF</v>
      </c>
      <c r="O39" s="1" t="str">
        <f ca="1">IF(M39="Merged", "", IF(AND(ISNA(VLOOKUP(N39, Chords!K$2:K$169, 0, FALSE)), ISNA(VLOOKUP(N39, Chords!O$2:O$169, 0, FALSE))), "", "Yes"))</f>
        <v>Yes</v>
      </c>
      <c r="P39" s="1" t="str">
        <f t="shared" ca="1" si="5"/>
        <v>BbDF</v>
      </c>
    </row>
    <row r="40" spans="1:16">
      <c r="A40" s="1">
        <v>39</v>
      </c>
      <c r="B40" s="1">
        <v>33</v>
      </c>
      <c r="C40" s="1">
        <v>40</v>
      </c>
      <c r="E40" s="1" t="s">
        <v>18</v>
      </c>
      <c r="H40" s="1" t="str">
        <f>GetSortedUniquePitchClasses(GetPitchClasses(CONCATENATE(D40, E40, F40, G40)))</f>
        <v>Bb</v>
      </c>
      <c r="I40" s="1" t="str">
        <f ca="1">IF(AND(ISNA(VLOOKUP(H40, Chords!K$2:K$169, 0, FALSE)), ISNA(VLOOKUP(H40, Chords!O$2:O$169, 0, FALSE))), "", "Yes")</f>
        <v/>
      </c>
      <c r="J40" s="1" t="str">
        <f t="shared" ca="1" si="0"/>
        <v/>
      </c>
      <c r="K40" s="1" t="str">
        <f t="shared" si="1"/>
        <v/>
      </c>
      <c r="L40" s="1" t="str">
        <f t="shared" si="2"/>
        <v>Yes</v>
      </c>
      <c r="M40" s="1" t="str">
        <f t="shared" si="3"/>
        <v/>
      </c>
      <c r="N40" s="1" t="str">
        <f t="shared" si="4"/>
        <v>ABbF</v>
      </c>
      <c r="O40" s="1" t="str">
        <f ca="1">IF(M40="Merged", "", IF(AND(ISNA(VLOOKUP(N40, Chords!K$2:K$169, 0, FALSE)), ISNA(VLOOKUP(N40, Chords!O$2:O$169, 0, FALSE))), "", "Yes"))</f>
        <v>Yes</v>
      </c>
      <c r="P40" s="1" t="str">
        <f t="shared" ca="1" si="5"/>
        <v>ABbF</v>
      </c>
    </row>
    <row r="41" spans="1:16" s="2" customFormat="1" ht="17.25" thickBot="1">
      <c r="A41" s="2">
        <v>40</v>
      </c>
      <c r="B41" s="2">
        <v>33</v>
      </c>
      <c r="C41" s="2">
        <v>40</v>
      </c>
      <c r="E41" s="2" t="s">
        <v>2</v>
      </c>
      <c r="H41" s="2" t="str">
        <f>GetSortedUniquePitchClasses(GetPitchClasses(CONCATENATE(D41, E41, F41, G41)))</f>
        <v>A</v>
      </c>
      <c r="I41" s="2" t="str">
        <f ca="1">IF(AND(ISNA(VLOOKUP(H41, Chords!K$2:K$169, 0, FALSE)), ISNA(VLOOKUP(H41, Chords!O$2:O$169, 0, FALSE))), "", "Yes")</f>
        <v/>
      </c>
      <c r="J41" s="2" t="str">
        <f t="shared" ca="1" si="0"/>
        <v/>
      </c>
      <c r="K41" s="2" t="str">
        <f t="shared" si="1"/>
        <v/>
      </c>
      <c r="L41" s="2" t="str">
        <f t="shared" si="2"/>
        <v>Yes</v>
      </c>
      <c r="M41" s="2" t="str">
        <f t="shared" si="3"/>
        <v/>
      </c>
      <c r="N41" s="2" t="str">
        <f t="shared" si="4"/>
        <v>ABb</v>
      </c>
      <c r="O41" s="2" t="str">
        <f ca="1">IF(M41="Merged", "", IF(AND(ISNA(VLOOKUP(N41, Chords!K$2:K$169, 0, FALSE)), ISNA(VLOOKUP(N41, Chords!O$2:O$169, 0, FALSE))), "", "Yes"))</f>
        <v/>
      </c>
      <c r="P41" s="2" t="str">
        <f t="shared" ca="1" si="5"/>
        <v/>
      </c>
    </row>
    <row r="42" spans="1:16">
      <c r="A42" s="1">
        <v>41</v>
      </c>
      <c r="B42" s="1">
        <v>41</v>
      </c>
      <c r="C42" s="1">
        <v>48</v>
      </c>
      <c r="D42" s="1" t="s">
        <v>10</v>
      </c>
      <c r="E42" s="1" t="s">
        <v>13</v>
      </c>
      <c r="F42" s="1" t="s">
        <v>26</v>
      </c>
      <c r="G42" s="1" t="s">
        <v>41</v>
      </c>
      <c r="H42" s="1" t="str">
        <f>GetSortedUniquePitchClasses(GetPitchClasses(CONCATENATE(D42, E42, F42, G42)))</f>
        <v>BDD#G#</v>
      </c>
      <c r="I42" s="1" t="str">
        <f ca="1">IF(AND(ISNA(VLOOKUP(H42, Chords!K$2:K$169, 0, FALSE)), ISNA(VLOOKUP(H42, Chords!O$2:O$169, 0, FALSE))), "", "Yes")</f>
        <v/>
      </c>
      <c r="J42" s="1" t="str">
        <f t="shared" ca="1" si="0"/>
        <v>Yes</v>
      </c>
      <c r="K42" s="1" t="str">
        <f t="shared" si="1"/>
        <v/>
      </c>
      <c r="L42" s="1" t="str">
        <f t="shared" si="2"/>
        <v/>
      </c>
      <c r="M42" s="1" t="str">
        <f t="shared" si="3"/>
        <v/>
      </c>
      <c r="N42" s="1" t="str">
        <f t="shared" si="4"/>
        <v>BDD#EG#</v>
      </c>
      <c r="O42" s="1" t="str">
        <f ca="1">IF(M42="Merged", "", IF(AND(ISNA(VLOOKUP(N42, Chords!K$2:K$169, 0, FALSE)), ISNA(VLOOKUP(N42, Chords!O$2:O$169, 0, FALSE))), "", "Yes"))</f>
        <v/>
      </c>
      <c r="P42" s="1" t="str">
        <f t="shared" ca="1" si="5"/>
        <v/>
      </c>
    </row>
    <row r="43" spans="1:16">
      <c r="A43" s="1">
        <v>42</v>
      </c>
      <c r="B43" s="1">
        <v>41</v>
      </c>
      <c r="C43" s="1">
        <v>48</v>
      </c>
      <c r="D43" s="1" t="s">
        <v>11</v>
      </c>
      <c r="E43" s="1" t="s">
        <v>13</v>
      </c>
      <c r="F43" s="1" t="s">
        <v>26</v>
      </c>
      <c r="G43" s="1" t="s">
        <v>41</v>
      </c>
      <c r="H43" s="1" t="str">
        <f>GetSortedUniquePitchClasses(GetPitchClasses(CONCATENATE(D43, E43, F43, G43)))</f>
        <v>BDEG#</v>
      </c>
      <c r="I43" s="1" t="str">
        <f ca="1">IF(AND(ISNA(VLOOKUP(H43, Chords!K$2:K$169, 0, FALSE)), ISNA(VLOOKUP(H43, Chords!O$2:O$169, 0, FALSE))), "", "Yes")</f>
        <v/>
      </c>
      <c r="J43" s="1" t="str">
        <f t="shared" ca="1" si="0"/>
        <v>Yes</v>
      </c>
      <c r="K43" s="1" t="str">
        <f t="shared" si="1"/>
        <v/>
      </c>
      <c r="L43" s="1" t="str">
        <f t="shared" si="2"/>
        <v/>
      </c>
      <c r="M43" s="1" t="str">
        <f t="shared" si="3"/>
        <v/>
      </c>
      <c r="N43" s="1" t="str">
        <f t="shared" si="4"/>
        <v>BDD#EG#</v>
      </c>
      <c r="O43" s="1" t="str">
        <f ca="1">IF(M43="Merged", "", IF(AND(ISNA(VLOOKUP(N43, Chords!K$2:K$169, 0, FALSE)), ISNA(VLOOKUP(N43, Chords!O$2:O$169, 0, FALSE))), "", "Yes"))</f>
        <v/>
      </c>
      <c r="P43" s="1" t="str">
        <f t="shared" ca="1" si="5"/>
        <v/>
      </c>
    </row>
    <row r="44" spans="1:16">
      <c r="A44" s="1">
        <v>43</v>
      </c>
      <c r="B44" s="1">
        <v>41</v>
      </c>
      <c r="C44" s="1">
        <v>48</v>
      </c>
      <c r="D44" s="1" t="s">
        <v>10</v>
      </c>
      <c r="H44" s="1" t="str">
        <f>GetSortedUniquePitchClasses(GetPitchClasses(CONCATENATE(D44, E44, F44, G44)))</f>
        <v>D#</v>
      </c>
      <c r="I44" s="1" t="str">
        <f ca="1">IF(AND(ISNA(VLOOKUP(H44, Chords!K$2:K$169, 0, FALSE)), ISNA(VLOOKUP(H44, Chords!O$2:O$169, 0, FALSE))), "", "Yes")</f>
        <v/>
      </c>
      <c r="J44" s="1" t="str">
        <f t="shared" ca="1" si="0"/>
        <v/>
      </c>
      <c r="K44" s="1" t="str">
        <f t="shared" si="1"/>
        <v/>
      </c>
      <c r="L44" s="1" t="str">
        <f t="shared" si="2"/>
        <v>Yes</v>
      </c>
      <c r="M44" s="1" t="str">
        <f t="shared" si="3"/>
        <v/>
      </c>
      <c r="N44" s="1" t="str">
        <f t="shared" si="4"/>
        <v>BDD#EG#</v>
      </c>
      <c r="O44" s="1" t="str">
        <f ca="1">IF(M44="Merged", "", IF(AND(ISNA(VLOOKUP(N44, Chords!K$2:K$169, 0, FALSE)), ISNA(VLOOKUP(N44, Chords!O$2:O$169, 0, FALSE))), "", "Yes"))</f>
        <v/>
      </c>
      <c r="P44" s="1" t="str">
        <f t="shared" ca="1" si="5"/>
        <v/>
      </c>
    </row>
    <row r="45" spans="1:16">
      <c r="A45" s="1">
        <v>44</v>
      </c>
      <c r="B45" s="1">
        <v>41</v>
      </c>
      <c r="C45" s="1">
        <v>48</v>
      </c>
      <c r="D45" s="1" t="s">
        <v>11</v>
      </c>
      <c r="H45" s="1" t="str">
        <f>GetSortedUniquePitchClasses(GetPitchClasses(CONCATENATE(D45, E45, F45, G45)))</f>
        <v>E</v>
      </c>
      <c r="I45" s="1" t="str">
        <f ca="1">IF(AND(ISNA(VLOOKUP(H45, Chords!K$2:K$169, 0, FALSE)), ISNA(VLOOKUP(H45, Chords!O$2:O$169, 0, FALSE))), "", "Yes")</f>
        <v/>
      </c>
      <c r="J45" s="1" t="str">
        <f t="shared" ca="1" si="0"/>
        <v/>
      </c>
      <c r="K45" s="1" t="str">
        <f t="shared" si="1"/>
        <v/>
      </c>
      <c r="L45" s="1" t="str">
        <f t="shared" si="2"/>
        <v>Yes</v>
      </c>
      <c r="M45" s="1" t="str">
        <f t="shared" si="3"/>
        <v/>
      </c>
      <c r="N45" s="1" t="str">
        <f t="shared" si="4"/>
        <v>D#E</v>
      </c>
      <c r="O45" s="1" t="str">
        <f ca="1">IF(M45="Merged", "", IF(AND(ISNA(VLOOKUP(N45, Chords!K$2:K$169, 0, FALSE)), ISNA(VLOOKUP(N45, Chords!O$2:O$169, 0, FALSE))), "", "Yes"))</f>
        <v/>
      </c>
      <c r="P45" s="1" t="str">
        <f t="shared" ca="1" si="5"/>
        <v/>
      </c>
    </row>
    <row r="46" spans="1:16">
      <c r="A46" s="1">
        <v>45</v>
      </c>
      <c r="B46" s="1">
        <v>41</v>
      </c>
      <c r="C46" s="1">
        <v>48</v>
      </c>
      <c r="D46" s="1" t="s">
        <v>10</v>
      </c>
      <c r="H46" s="1" t="str">
        <f>GetSortedUniquePitchClasses(GetPitchClasses(CONCATENATE(D46, E46, F46, G46)))</f>
        <v>D#</v>
      </c>
      <c r="I46" s="1" t="str">
        <f ca="1">IF(AND(ISNA(VLOOKUP(H46, Chords!K$2:K$169, 0, FALSE)), ISNA(VLOOKUP(H46, Chords!O$2:O$169, 0, FALSE))), "", "Yes")</f>
        <v/>
      </c>
      <c r="J46" s="1" t="str">
        <f t="shared" ca="1" si="0"/>
        <v/>
      </c>
      <c r="K46" s="1" t="str">
        <f t="shared" si="1"/>
        <v/>
      </c>
      <c r="L46" s="1" t="str">
        <f t="shared" si="2"/>
        <v>Yes</v>
      </c>
      <c r="M46" s="1" t="str">
        <f t="shared" si="3"/>
        <v/>
      </c>
      <c r="N46" s="1" t="str">
        <f t="shared" si="4"/>
        <v>D#E</v>
      </c>
      <c r="O46" s="1" t="str">
        <f ca="1">IF(M46="Merged", "", IF(AND(ISNA(VLOOKUP(N46, Chords!K$2:K$169, 0, FALSE)), ISNA(VLOOKUP(N46, Chords!O$2:O$169, 0, FALSE))), "", "Yes"))</f>
        <v/>
      </c>
      <c r="P46" s="1" t="str">
        <f t="shared" ca="1" si="5"/>
        <v/>
      </c>
    </row>
    <row r="47" spans="1:16">
      <c r="A47" s="1">
        <v>46</v>
      </c>
      <c r="B47" s="1">
        <v>41</v>
      </c>
      <c r="C47" s="1">
        <v>48</v>
      </c>
      <c r="D47" s="1" t="s">
        <v>11</v>
      </c>
      <c r="H47" s="1" t="str">
        <f>GetSortedUniquePitchClasses(GetPitchClasses(CONCATENATE(D47, E47, F47, G47)))</f>
        <v>E</v>
      </c>
      <c r="I47" s="1" t="str">
        <f ca="1">IF(AND(ISNA(VLOOKUP(H47, Chords!K$2:K$169, 0, FALSE)), ISNA(VLOOKUP(H47, Chords!O$2:O$169, 0, FALSE))), "", "Yes")</f>
        <v/>
      </c>
      <c r="J47" s="1" t="str">
        <f t="shared" ca="1" si="0"/>
        <v/>
      </c>
      <c r="K47" s="1" t="str">
        <f t="shared" si="1"/>
        <v/>
      </c>
      <c r="L47" s="1" t="str">
        <f t="shared" si="2"/>
        <v>Yes</v>
      </c>
      <c r="M47" s="1" t="str">
        <f t="shared" si="3"/>
        <v/>
      </c>
      <c r="N47" s="1" t="str">
        <f t="shared" si="4"/>
        <v>BD#E</v>
      </c>
      <c r="O47" s="1" t="str">
        <f ca="1">IF(M47="Merged", "", IF(AND(ISNA(VLOOKUP(N47, Chords!K$2:K$169, 0, FALSE)), ISNA(VLOOKUP(N47, Chords!O$2:O$169, 0, FALSE))), "", "Yes"))</f>
        <v/>
      </c>
      <c r="P47" s="1" t="str">
        <f t="shared" ca="1" si="5"/>
        <v/>
      </c>
    </row>
    <row r="48" spans="1:16">
      <c r="A48" s="1">
        <v>47</v>
      </c>
      <c r="B48" s="1">
        <v>41</v>
      </c>
      <c r="C48" s="1">
        <v>48</v>
      </c>
      <c r="D48" s="1" t="s">
        <v>12</v>
      </c>
      <c r="H48" s="1" t="str">
        <f>GetSortedUniquePitchClasses(GetPitchClasses(CONCATENATE(D48, E48, F48, G48)))</f>
        <v>B</v>
      </c>
      <c r="I48" s="1" t="str">
        <f ca="1">IF(AND(ISNA(VLOOKUP(H48, Chords!K$2:K$169, 0, FALSE)), ISNA(VLOOKUP(H48, Chords!O$2:O$169, 0, FALSE))), "", "Yes")</f>
        <v/>
      </c>
      <c r="J48" s="1" t="str">
        <f t="shared" ca="1" si="0"/>
        <v/>
      </c>
      <c r="K48" s="1" t="str">
        <f t="shared" si="1"/>
        <v/>
      </c>
      <c r="L48" s="1" t="str">
        <f t="shared" si="2"/>
        <v>Yes</v>
      </c>
      <c r="M48" s="1" t="str">
        <f t="shared" si="3"/>
        <v/>
      </c>
      <c r="N48" s="1" t="str">
        <f t="shared" si="4"/>
        <v>BEG#</v>
      </c>
      <c r="O48" s="1" t="str">
        <f ca="1">IF(M48="Merged", "", IF(AND(ISNA(VLOOKUP(N48, Chords!K$2:K$169, 0, FALSE)), ISNA(VLOOKUP(N48, Chords!O$2:O$169, 0, FALSE))), "", "Yes"))</f>
        <v>Yes</v>
      </c>
      <c r="P48" s="1" t="str">
        <f t="shared" ca="1" si="5"/>
        <v>BEG#</v>
      </c>
    </row>
    <row r="49" spans="1:16" s="2" customFormat="1" ht="17.25" thickBot="1">
      <c r="A49" s="2">
        <v>48</v>
      </c>
      <c r="B49" s="2">
        <v>41</v>
      </c>
      <c r="C49" s="2">
        <v>48</v>
      </c>
      <c r="D49" s="2" t="s">
        <v>13</v>
      </c>
      <c r="H49" s="2" t="str">
        <f>GetSortedUniquePitchClasses(GetPitchClasses(CONCATENATE(D49, E49, F49, G49)))</f>
        <v>G#</v>
      </c>
      <c r="I49" s="2" t="str">
        <f ca="1">IF(AND(ISNA(VLOOKUP(H49, Chords!K$2:K$169, 0, FALSE)), ISNA(VLOOKUP(H49, Chords!O$2:O$169, 0, FALSE))), "", "Yes")</f>
        <v/>
      </c>
      <c r="J49" s="2" t="str">
        <f t="shared" ca="1" si="0"/>
        <v/>
      </c>
      <c r="K49" s="2" t="str">
        <f t="shared" si="1"/>
        <v/>
      </c>
      <c r="L49" s="2" t="str">
        <f t="shared" si="2"/>
        <v>Yes</v>
      </c>
      <c r="M49" s="2" t="str">
        <f t="shared" si="3"/>
        <v/>
      </c>
      <c r="N49" s="2" t="str">
        <f t="shared" si="4"/>
        <v>BG#</v>
      </c>
      <c r="O49" s="2" t="str">
        <f ca="1">IF(M49="Merged", "", IF(AND(ISNA(VLOOKUP(N49, Chords!K$2:K$169, 0, FALSE)), ISNA(VLOOKUP(N49, Chords!O$2:O$169, 0, FALSE))), "", "Yes"))</f>
        <v/>
      </c>
      <c r="P49" s="2" t="str">
        <f t="shared" ca="1" si="5"/>
        <v/>
      </c>
    </row>
    <row r="50" spans="1:16">
      <c r="A50" s="1">
        <v>49</v>
      </c>
      <c r="B50" s="1">
        <v>49</v>
      </c>
      <c r="C50" s="1">
        <v>56</v>
      </c>
      <c r="D50" s="1" t="s">
        <v>7</v>
      </c>
      <c r="E50" s="1" t="s">
        <v>16</v>
      </c>
      <c r="F50" s="1" t="s">
        <v>27</v>
      </c>
      <c r="G50" s="1" t="s">
        <v>42</v>
      </c>
      <c r="H50" s="1" t="str">
        <f>GetSortedUniquePitchClasses(GetPitchClasses(CONCATENATE(D50, E50, F50, G50)))</f>
        <v>BEG#</v>
      </c>
      <c r="I50" s="1" t="str">
        <f ca="1">IF(AND(ISNA(VLOOKUP(H50, Chords!K$2:K$169, 0, FALSE)), ISNA(VLOOKUP(H50, Chords!O$2:O$169, 0, FALSE))), "", "Yes")</f>
        <v>Yes</v>
      </c>
      <c r="J50" s="1" t="str">
        <f t="shared" ca="1" si="0"/>
        <v/>
      </c>
      <c r="K50" s="1" t="str">
        <f t="shared" si="1"/>
        <v/>
      </c>
      <c r="L50" s="1" t="str">
        <f t="shared" si="2"/>
        <v/>
      </c>
      <c r="M50" s="1" t="str">
        <f t="shared" si="3"/>
        <v/>
      </c>
      <c r="N50" s="1" t="str">
        <f t="shared" si="4"/>
        <v>BEG#</v>
      </c>
      <c r="O50" s="1" t="str">
        <f ca="1">IF(M50="Merged", "", IF(AND(ISNA(VLOOKUP(N50, Chords!K$2:K$169, 0, FALSE)), ISNA(VLOOKUP(N50, Chords!O$2:O$169, 0, FALSE))), "", "Yes"))</f>
        <v>Yes</v>
      </c>
      <c r="P50" s="1" t="str">
        <f t="shared" ca="1" si="5"/>
        <v>BEG#</v>
      </c>
    </row>
    <row r="51" spans="1:16">
      <c r="A51" s="1">
        <v>50</v>
      </c>
      <c r="B51" s="1">
        <v>49</v>
      </c>
      <c r="C51" s="1">
        <v>56</v>
      </c>
      <c r="D51" s="1" t="s">
        <v>7</v>
      </c>
      <c r="E51" s="1" t="s">
        <v>19</v>
      </c>
      <c r="F51" s="1" t="s">
        <v>27</v>
      </c>
      <c r="G51" s="1" t="s">
        <v>42</v>
      </c>
      <c r="H51" s="1" t="str">
        <f>GetSortedUniquePitchClasses(GetPitchClasses(CONCATENATE(D51, E51, F51, G51)))</f>
        <v>BEG#</v>
      </c>
      <c r="I51" s="1" t="str">
        <f ca="1">IF(AND(ISNA(VLOOKUP(H51, Chords!K$2:K$169, 0, FALSE)), ISNA(VLOOKUP(H51, Chords!O$2:O$169, 0, FALSE))), "", "Yes")</f>
        <v>Yes</v>
      </c>
      <c r="J51" s="1" t="str">
        <f t="shared" ca="1" si="0"/>
        <v/>
      </c>
      <c r="K51" s="1" t="str">
        <f t="shared" si="1"/>
        <v/>
      </c>
      <c r="L51" s="1" t="str">
        <f t="shared" si="2"/>
        <v/>
      </c>
      <c r="M51" s="1" t="str">
        <f t="shared" si="3"/>
        <v>Merged</v>
      </c>
      <c r="N51" s="1" t="str">
        <f t="shared" si="4"/>
        <v/>
      </c>
      <c r="O51" s="1" t="str">
        <f>IF(M51="Merged", "", IF(AND(ISNA(VLOOKUP(N51, Chords!K$2:K$169, 0, FALSE)), ISNA(VLOOKUP(N51, Chords!O$2:O$169, 0, FALSE))), "", "Yes"))</f>
        <v/>
      </c>
      <c r="P51" s="1" t="str">
        <f t="shared" si="5"/>
        <v/>
      </c>
    </row>
    <row r="52" spans="1:16">
      <c r="A52" s="1">
        <v>51</v>
      </c>
      <c r="B52" s="1">
        <v>49</v>
      </c>
      <c r="C52" s="1">
        <v>56</v>
      </c>
      <c r="E52" s="1" t="s">
        <v>20</v>
      </c>
      <c r="H52" s="1" t="str">
        <f>GetSortedUniquePitchClasses(GetPitchClasses(CONCATENATE(D52, E52, F52, G52)))</f>
        <v>B</v>
      </c>
      <c r="I52" s="1" t="str">
        <f ca="1">IF(AND(ISNA(VLOOKUP(H52, Chords!K$2:K$169, 0, FALSE)), ISNA(VLOOKUP(H52, Chords!O$2:O$169, 0, FALSE))), "", "Yes")</f>
        <v/>
      </c>
      <c r="J52" s="1" t="str">
        <f t="shared" ca="1" si="0"/>
        <v/>
      </c>
      <c r="K52" s="1" t="str">
        <f t="shared" si="1"/>
        <v/>
      </c>
      <c r="L52" s="1" t="str">
        <f t="shared" si="2"/>
        <v>Yes</v>
      </c>
      <c r="M52" s="1" t="str">
        <f t="shared" si="3"/>
        <v/>
      </c>
      <c r="N52" s="1" t="str">
        <f t="shared" si="4"/>
        <v>ABEG#</v>
      </c>
      <c r="O52" s="1" t="str">
        <f ca="1">IF(M52="Merged", "", IF(AND(ISNA(VLOOKUP(N52, Chords!K$2:K$169, 0, FALSE)), ISNA(VLOOKUP(N52, Chords!O$2:O$169, 0, FALSE))), "", "Yes"))</f>
        <v/>
      </c>
      <c r="P52" s="1" t="str">
        <f t="shared" ca="1" si="5"/>
        <v/>
      </c>
    </row>
    <row r="53" spans="1:16">
      <c r="A53" s="1">
        <v>52</v>
      </c>
      <c r="B53" s="1">
        <v>49</v>
      </c>
      <c r="C53" s="1">
        <v>56</v>
      </c>
      <c r="E53" s="1" t="s">
        <v>2</v>
      </c>
      <c r="H53" s="1" t="str">
        <f>GetSortedUniquePitchClasses(GetPitchClasses(CONCATENATE(D53, E53, F53, G53)))</f>
        <v>A</v>
      </c>
      <c r="I53" s="1" t="str">
        <f ca="1">IF(AND(ISNA(VLOOKUP(H53, Chords!K$2:K$169, 0, FALSE)), ISNA(VLOOKUP(H53, Chords!O$2:O$169, 0, FALSE))), "", "Yes")</f>
        <v/>
      </c>
      <c r="J53" s="1" t="str">
        <f t="shared" ca="1" si="0"/>
        <v/>
      </c>
      <c r="K53" s="1" t="str">
        <f t="shared" si="1"/>
        <v/>
      </c>
      <c r="L53" s="1" t="str">
        <f t="shared" si="2"/>
        <v>Yes</v>
      </c>
      <c r="M53" s="1" t="str">
        <f t="shared" si="3"/>
        <v/>
      </c>
      <c r="N53" s="1" t="str">
        <f t="shared" si="4"/>
        <v>ABEG#</v>
      </c>
      <c r="O53" s="1" t="str">
        <f ca="1">IF(M53="Merged", "", IF(AND(ISNA(VLOOKUP(N53, Chords!K$2:K$169, 0, FALSE)), ISNA(VLOOKUP(N53, Chords!O$2:O$169, 0, FALSE))), "", "Yes"))</f>
        <v/>
      </c>
      <c r="P53" s="1" t="str">
        <f t="shared" ca="1" si="5"/>
        <v/>
      </c>
    </row>
    <row r="54" spans="1:16">
      <c r="A54" s="1">
        <v>53</v>
      </c>
      <c r="B54" s="1">
        <v>49</v>
      </c>
      <c r="C54" s="1">
        <v>56</v>
      </c>
      <c r="E54" s="1" t="s">
        <v>19</v>
      </c>
      <c r="F54" s="1" t="s">
        <v>27</v>
      </c>
      <c r="G54" s="1" t="s">
        <v>43</v>
      </c>
      <c r="H54" s="1" t="str">
        <f>GetSortedUniquePitchClasses(GetPitchClasses(CONCATENATE(D54, E54, F54, G54)))</f>
        <v>BEG#</v>
      </c>
      <c r="I54" s="1" t="str">
        <f ca="1">IF(AND(ISNA(VLOOKUP(H54, Chords!K$2:K$169, 0, FALSE)), ISNA(VLOOKUP(H54, Chords!O$2:O$169, 0, FALSE))), "", "Yes")</f>
        <v>Yes</v>
      </c>
      <c r="J54" s="1" t="str">
        <f t="shared" ca="1" si="0"/>
        <v/>
      </c>
      <c r="K54" s="1" t="str">
        <f t="shared" si="1"/>
        <v/>
      </c>
      <c r="L54" s="1" t="str">
        <f t="shared" si="2"/>
        <v/>
      </c>
      <c r="M54" s="1" t="str">
        <f t="shared" si="3"/>
        <v/>
      </c>
      <c r="N54" s="1" t="str">
        <f t="shared" si="4"/>
        <v>ABEG#</v>
      </c>
      <c r="O54" s="1" t="str">
        <f ca="1">IF(M54="Merged", "", IF(AND(ISNA(VLOOKUP(N54, Chords!K$2:K$169, 0, FALSE)), ISNA(VLOOKUP(N54, Chords!O$2:O$169, 0, FALSE))), "", "Yes"))</f>
        <v/>
      </c>
      <c r="P54" s="1" t="str">
        <f t="shared" ca="1" si="5"/>
        <v/>
      </c>
    </row>
    <row r="55" spans="1:16">
      <c r="A55" s="1">
        <v>54</v>
      </c>
      <c r="B55" s="1">
        <v>49</v>
      </c>
      <c r="C55" s="1">
        <v>56</v>
      </c>
      <c r="E55" s="1" t="s">
        <v>20</v>
      </c>
      <c r="F55" s="1" t="s">
        <v>27</v>
      </c>
      <c r="G55" s="1" t="s">
        <v>43</v>
      </c>
      <c r="H55" s="1" t="str">
        <f>GetSortedUniquePitchClasses(GetPitchClasses(CONCATENATE(D55, E55, F55, G55)))</f>
        <v>BE</v>
      </c>
      <c r="I55" s="1" t="str">
        <f ca="1">IF(AND(ISNA(VLOOKUP(H55, Chords!K$2:K$169, 0, FALSE)), ISNA(VLOOKUP(H55, Chords!O$2:O$169, 0, FALSE))), "", "Yes")</f>
        <v/>
      </c>
      <c r="J55" s="1" t="str">
        <f t="shared" ca="1" si="0"/>
        <v/>
      </c>
      <c r="K55" s="1" t="str">
        <f t="shared" si="1"/>
        <v>Yes</v>
      </c>
      <c r="L55" s="1" t="str">
        <f t="shared" si="2"/>
        <v/>
      </c>
      <c r="M55" s="1" t="str">
        <f t="shared" si="3"/>
        <v/>
      </c>
      <c r="N55" s="1" t="str">
        <f t="shared" si="4"/>
        <v>BEG#</v>
      </c>
      <c r="O55" s="1" t="str">
        <f ca="1">IF(M55="Merged", "", IF(AND(ISNA(VLOOKUP(N55, Chords!K$2:K$169, 0, FALSE)), ISNA(VLOOKUP(N55, Chords!O$2:O$169, 0, FALSE))), "", "Yes"))</f>
        <v>Yes</v>
      </c>
      <c r="P55" s="1" t="str">
        <f t="shared" ca="1" si="5"/>
        <v>BEG#</v>
      </c>
    </row>
    <row r="56" spans="1:16">
      <c r="A56" s="1">
        <v>55</v>
      </c>
      <c r="B56" s="1">
        <v>49</v>
      </c>
      <c r="C56" s="1">
        <v>56</v>
      </c>
      <c r="E56" s="1" t="s">
        <v>7</v>
      </c>
      <c r="H56" s="1" t="str">
        <f>GetSortedUniquePitchClasses(GetPitchClasses(CONCATENATE(D56, E56, F56, G56)))</f>
        <v>E</v>
      </c>
      <c r="I56" s="1" t="str">
        <f ca="1">IF(AND(ISNA(VLOOKUP(H56, Chords!K$2:K$169, 0, FALSE)), ISNA(VLOOKUP(H56, Chords!O$2:O$169, 0, FALSE))), "", "Yes")</f>
        <v/>
      </c>
      <c r="J56" s="1" t="str">
        <f t="shared" ca="1" si="0"/>
        <v/>
      </c>
      <c r="K56" s="1" t="str">
        <f t="shared" si="1"/>
        <v/>
      </c>
      <c r="L56" s="1" t="str">
        <f t="shared" si="2"/>
        <v>Yes</v>
      </c>
      <c r="M56" s="1" t="str">
        <f t="shared" si="3"/>
        <v/>
      </c>
      <c r="N56" s="1" t="str">
        <f t="shared" si="4"/>
        <v>BDE</v>
      </c>
      <c r="O56" s="1" t="str">
        <f ca="1">IF(M56="Merged", "", IF(AND(ISNA(VLOOKUP(N56, Chords!K$2:K$169, 0, FALSE)), ISNA(VLOOKUP(N56, Chords!O$2:O$169, 0, FALSE))), "", "Yes"))</f>
        <v/>
      </c>
      <c r="P56" s="1" t="str">
        <f t="shared" ca="1" si="5"/>
        <v/>
      </c>
    </row>
    <row r="57" spans="1:16" s="2" customFormat="1" ht="17.25" thickBot="1">
      <c r="A57" s="2">
        <v>56</v>
      </c>
      <c r="B57" s="2">
        <v>49</v>
      </c>
      <c r="C57" s="2">
        <v>56</v>
      </c>
      <c r="E57" s="2" t="s">
        <v>5</v>
      </c>
      <c r="H57" s="2" t="str">
        <f>GetSortedUniquePitchClasses(GetPitchClasses(CONCATENATE(D57, E57, F57, G57)))</f>
        <v>D</v>
      </c>
      <c r="I57" s="2" t="str">
        <f ca="1">IF(AND(ISNA(VLOOKUP(H57, Chords!K$2:K$169, 0, FALSE)), ISNA(VLOOKUP(H57, Chords!O$2:O$169, 0, FALSE))), "", "Yes")</f>
        <v/>
      </c>
      <c r="J57" s="2" t="str">
        <f t="shared" ca="1" si="0"/>
        <v/>
      </c>
      <c r="K57" s="2" t="str">
        <f t="shared" si="1"/>
        <v/>
      </c>
      <c r="L57" s="2" t="str">
        <f t="shared" si="2"/>
        <v>Yes</v>
      </c>
      <c r="M57" s="2" t="str">
        <f t="shared" si="3"/>
        <v/>
      </c>
      <c r="N57" s="2" t="str">
        <f t="shared" si="4"/>
        <v>DE</v>
      </c>
      <c r="O57" s="2" t="str">
        <f ca="1">IF(M57="Merged", "", IF(AND(ISNA(VLOOKUP(N57, Chords!K$2:K$169, 0, FALSE)), ISNA(VLOOKUP(N57, Chords!O$2:O$169, 0, FALSE))), "", "Yes"))</f>
        <v/>
      </c>
      <c r="P57" s="2" t="str">
        <f t="shared" ca="1" si="5"/>
        <v/>
      </c>
    </row>
    <row r="58" spans="1:16">
      <c r="A58" s="1">
        <v>57</v>
      </c>
      <c r="B58" s="1">
        <v>57</v>
      </c>
      <c r="C58" s="1">
        <v>64</v>
      </c>
      <c r="F58" s="1" t="s">
        <v>28</v>
      </c>
      <c r="G58" s="1" t="s">
        <v>44</v>
      </c>
      <c r="H58" s="1" t="str">
        <f>GetSortedUniquePitchClasses(GetPitchClasses(CONCATENATE(D58, E58, F58, G58)))</f>
        <v>AC</v>
      </c>
      <c r="I58" s="1" t="str">
        <f ca="1">IF(AND(ISNA(VLOOKUP(H58, Chords!K$2:K$169, 0, FALSE)), ISNA(VLOOKUP(H58, Chords!O$2:O$169, 0, FALSE))), "", "Yes")</f>
        <v/>
      </c>
      <c r="J58" s="1" t="str">
        <f t="shared" ca="1" si="0"/>
        <v/>
      </c>
      <c r="K58" s="1" t="str">
        <f t="shared" si="1"/>
        <v>Yes</v>
      </c>
      <c r="L58" s="1" t="str">
        <f t="shared" si="2"/>
        <v/>
      </c>
      <c r="M58" s="1" t="str">
        <f t="shared" si="3"/>
        <v/>
      </c>
      <c r="N58" s="1" t="str">
        <f t="shared" si="4"/>
        <v>ACE</v>
      </c>
      <c r="O58" s="1" t="str">
        <f ca="1">IF(M58="Merged", "", IF(AND(ISNA(VLOOKUP(N58, Chords!K$2:K$169, 0, FALSE)), ISNA(VLOOKUP(N58, Chords!O$2:O$169, 0, FALSE))), "", "Yes"))</f>
        <v>Yes</v>
      </c>
      <c r="P58" s="1" t="str">
        <f t="shared" ca="1" si="5"/>
        <v>ACE</v>
      </c>
    </row>
    <row r="59" spans="1:16">
      <c r="A59" s="1">
        <v>58</v>
      </c>
      <c r="B59" s="1">
        <v>57</v>
      </c>
      <c r="C59" s="1">
        <v>64</v>
      </c>
      <c r="E59" s="1" t="s">
        <v>16</v>
      </c>
      <c r="F59" s="1" t="s">
        <v>28</v>
      </c>
      <c r="G59" s="1" t="s">
        <v>44</v>
      </c>
      <c r="H59" s="1" t="str">
        <f>GetSortedUniquePitchClasses(GetPitchClasses(CONCATENATE(D59, E59, F59, G59)))</f>
        <v>ACE</v>
      </c>
      <c r="I59" s="1" t="str">
        <f ca="1">IF(AND(ISNA(VLOOKUP(H59, Chords!K$2:K$169, 0, FALSE)), ISNA(VLOOKUP(H59, Chords!O$2:O$169, 0, FALSE))), "", "Yes")</f>
        <v>Yes</v>
      </c>
      <c r="J59" s="1" t="str">
        <f t="shared" ca="1" si="0"/>
        <v/>
      </c>
      <c r="K59" s="1" t="str">
        <f t="shared" si="1"/>
        <v/>
      </c>
      <c r="L59" s="1" t="str">
        <f t="shared" si="2"/>
        <v/>
      </c>
      <c r="M59" s="1" t="str">
        <f t="shared" si="3"/>
        <v/>
      </c>
      <c r="N59" s="1" t="str">
        <f t="shared" si="4"/>
        <v>ACDE</v>
      </c>
      <c r="O59" s="1" t="str">
        <f ca="1">IF(M59="Merged", "", IF(AND(ISNA(VLOOKUP(N59, Chords!K$2:K$169, 0, FALSE)), ISNA(VLOOKUP(N59, Chords!O$2:O$169, 0, FALSE))), "", "Yes"))</f>
        <v/>
      </c>
      <c r="P59" s="1" t="str">
        <f t="shared" ca="1" si="5"/>
        <v/>
      </c>
    </row>
    <row r="60" spans="1:16">
      <c r="A60" s="1">
        <v>59</v>
      </c>
      <c r="B60" s="1">
        <v>57</v>
      </c>
      <c r="C60" s="1">
        <v>64</v>
      </c>
      <c r="E60" s="1" t="s">
        <v>5</v>
      </c>
      <c r="F60" s="1" t="s">
        <v>29</v>
      </c>
      <c r="G60" s="1" t="s">
        <v>38</v>
      </c>
      <c r="H60" s="1" t="str">
        <f>GetSortedUniquePitchClasses(GetPitchClasses(CONCATENATE(D60, E60, F60, G60)))</f>
        <v>ADE</v>
      </c>
      <c r="I60" s="1" t="str">
        <f ca="1">IF(AND(ISNA(VLOOKUP(H60, Chords!K$2:K$169, 0, FALSE)), ISNA(VLOOKUP(H60, Chords!O$2:O$169, 0, FALSE))), "", "Yes")</f>
        <v/>
      </c>
      <c r="J60" s="1" t="str">
        <f t="shared" ca="1" si="0"/>
        <v>Yes</v>
      </c>
      <c r="K60" s="1" t="str">
        <f t="shared" si="1"/>
        <v/>
      </c>
      <c r="L60" s="1" t="str">
        <f t="shared" si="2"/>
        <v/>
      </c>
      <c r="M60" s="1" t="str">
        <f t="shared" si="3"/>
        <v/>
      </c>
      <c r="N60" s="1" t="str">
        <f t="shared" si="4"/>
        <v>ACDE</v>
      </c>
      <c r="O60" s="1" t="str">
        <f ca="1">IF(M60="Merged", "", IF(AND(ISNA(VLOOKUP(N60, Chords!K$2:K$169, 0, FALSE)), ISNA(VLOOKUP(N60, Chords!O$2:O$169, 0, FALSE))), "", "Yes"))</f>
        <v/>
      </c>
      <c r="P60" s="1" t="str">
        <f t="shared" ca="1" si="5"/>
        <v/>
      </c>
    </row>
    <row r="61" spans="1:16">
      <c r="A61" s="1">
        <v>60</v>
      </c>
      <c r="B61" s="1">
        <v>57</v>
      </c>
      <c r="C61" s="1">
        <v>64</v>
      </c>
      <c r="E61" s="1" t="s">
        <v>21</v>
      </c>
      <c r="F61" s="1" t="s">
        <v>29</v>
      </c>
      <c r="G61" s="1" t="s">
        <v>38</v>
      </c>
      <c r="H61" s="1" t="str">
        <f>GetSortedUniquePitchClasses(GetPitchClasses(CONCATENATE(D61, E61, F61, G61)))</f>
        <v>ACE</v>
      </c>
      <c r="I61" s="1" t="str">
        <f ca="1">IF(AND(ISNA(VLOOKUP(H61, Chords!K$2:K$169, 0, FALSE)), ISNA(VLOOKUP(H61, Chords!O$2:O$169, 0, FALSE))), "", "Yes")</f>
        <v>Yes</v>
      </c>
      <c r="J61" s="1" t="str">
        <f t="shared" ca="1" si="0"/>
        <v/>
      </c>
      <c r="K61" s="1" t="str">
        <f t="shared" si="1"/>
        <v/>
      </c>
      <c r="L61" s="1" t="str">
        <f t="shared" si="2"/>
        <v/>
      </c>
      <c r="M61" s="1" t="str">
        <f t="shared" si="3"/>
        <v/>
      </c>
      <c r="N61" s="1" t="str">
        <f t="shared" si="4"/>
        <v>ACDEG</v>
      </c>
      <c r="O61" s="1" t="str">
        <f ca="1">IF(M61="Merged", "", IF(AND(ISNA(VLOOKUP(N61, Chords!K$2:K$169, 0, FALSE)), ISNA(VLOOKUP(N61, Chords!O$2:O$169, 0, FALSE))), "", "Yes"))</f>
        <v/>
      </c>
      <c r="P61" s="1" t="str">
        <f t="shared" ca="1" si="5"/>
        <v/>
      </c>
    </row>
    <row r="62" spans="1:16">
      <c r="A62" s="1">
        <v>61</v>
      </c>
      <c r="B62" s="1">
        <v>57</v>
      </c>
      <c r="C62" s="1">
        <v>64</v>
      </c>
      <c r="D62" s="1" t="s">
        <v>8</v>
      </c>
      <c r="G62" s="1" t="s">
        <v>45</v>
      </c>
      <c r="H62" s="1" t="str">
        <f>GetSortedUniquePitchClasses(GetPitchClasses(CONCATENATE(D62, E62, F62, G62)))</f>
        <v>AG</v>
      </c>
      <c r="I62" s="1" t="str">
        <f ca="1">IF(AND(ISNA(VLOOKUP(H62, Chords!K$2:K$169, 0, FALSE)), ISNA(VLOOKUP(H62, Chords!O$2:O$169, 0, FALSE))), "", "Yes")</f>
        <v/>
      </c>
      <c r="J62" s="1" t="str">
        <f t="shared" ca="1" si="0"/>
        <v/>
      </c>
      <c r="K62" s="1" t="str">
        <f t="shared" si="1"/>
        <v>Yes</v>
      </c>
      <c r="L62" s="1" t="str">
        <f t="shared" si="2"/>
        <v/>
      </c>
      <c r="M62" s="1" t="str">
        <f t="shared" si="3"/>
        <v/>
      </c>
      <c r="N62" s="1" t="str">
        <f t="shared" si="4"/>
        <v>ACEG</v>
      </c>
      <c r="O62" s="1" t="str">
        <f ca="1">IF(M62="Merged", "", IF(AND(ISNA(VLOOKUP(N62, Chords!K$2:K$169, 0, FALSE)), ISNA(VLOOKUP(N62, Chords!O$2:O$169, 0, FALSE))), "", "Yes"))</f>
        <v/>
      </c>
      <c r="P62" s="1" t="str">
        <f t="shared" ca="1" si="5"/>
        <v/>
      </c>
    </row>
    <row r="63" spans="1:16">
      <c r="A63" s="1">
        <v>62</v>
      </c>
      <c r="B63" s="1">
        <v>57</v>
      </c>
      <c r="C63" s="1">
        <v>64</v>
      </c>
      <c r="D63" s="1" t="s">
        <v>8</v>
      </c>
      <c r="E63" s="1" t="s">
        <v>2</v>
      </c>
      <c r="G63" s="1" t="s">
        <v>45</v>
      </c>
      <c r="H63" s="1" t="str">
        <f>GetSortedUniquePitchClasses(GetPitchClasses(CONCATENATE(D63, E63, F63, G63)))</f>
        <v>AG</v>
      </c>
      <c r="I63" s="1" t="str">
        <f ca="1">IF(AND(ISNA(VLOOKUP(H63, Chords!K$2:K$169, 0, FALSE)), ISNA(VLOOKUP(H63, Chords!O$2:O$169, 0, FALSE))), "", "Yes")</f>
        <v/>
      </c>
      <c r="J63" s="1" t="str">
        <f t="shared" ca="1" si="0"/>
        <v/>
      </c>
      <c r="K63" s="1" t="str">
        <f t="shared" si="1"/>
        <v>Yes</v>
      </c>
      <c r="L63" s="1" t="str">
        <f t="shared" si="2"/>
        <v/>
      </c>
      <c r="M63" s="1" t="str">
        <f t="shared" si="3"/>
        <v>Merged</v>
      </c>
      <c r="N63" s="1" t="str">
        <f t="shared" si="4"/>
        <v/>
      </c>
      <c r="O63" s="1" t="str">
        <f>IF(M63="Merged", "", IF(AND(ISNA(VLOOKUP(N63, Chords!K$2:K$169, 0, FALSE)), ISNA(VLOOKUP(N63, Chords!O$2:O$169, 0, FALSE))), "", "Yes"))</f>
        <v/>
      </c>
      <c r="P63" s="1" t="str">
        <f t="shared" si="5"/>
        <v/>
      </c>
    </row>
    <row r="64" spans="1:16">
      <c r="A64" s="1">
        <v>63</v>
      </c>
      <c r="B64" s="1">
        <v>57</v>
      </c>
      <c r="C64" s="1">
        <v>64</v>
      </c>
      <c r="D64" s="1" t="s">
        <v>8</v>
      </c>
      <c r="E64" s="1" t="s">
        <v>5</v>
      </c>
      <c r="F64" s="1" t="s">
        <v>29</v>
      </c>
      <c r="G64" s="1" t="s">
        <v>37</v>
      </c>
      <c r="H64" s="1" t="str">
        <f>GetSortedUniquePitchClasses(GetPitchClasses(CONCATENATE(D64, E64, F64, G64)))</f>
        <v>ADEG</v>
      </c>
      <c r="I64" s="1" t="str">
        <f ca="1">IF(AND(ISNA(VLOOKUP(H64, Chords!K$2:K$169, 0, FALSE)), ISNA(VLOOKUP(H64, Chords!O$2:O$169, 0, FALSE))), "", "Yes")</f>
        <v/>
      </c>
      <c r="J64" s="1" t="str">
        <f t="shared" ca="1" si="0"/>
        <v>Yes</v>
      </c>
      <c r="K64" s="1" t="str">
        <f t="shared" si="1"/>
        <v/>
      </c>
      <c r="L64" s="1" t="str">
        <f t="shared" si="2"/>
        <v/>
      </c>
      <c r="M64" s="1" t="str">
        <f t="shared" si="3"/>
        <v/>
      </c>
      <c r="N64" s="1" t="str">
        <f t="shared" si="4"/>
        <v>AC#DEG</v>
      </c>
      <c r="O64" s="1" t="str">
        <f ca="1">IF(M64="Merged", "", IF(AND(ISNA(VLOOKUP(N64, Chords!K$2:K$169, 0, FALSE)), ISNA(VLOOKUP(N64, Chords!O$2:O$169, 0, FALSE))), "", "Yes"))</f>
        <v/>
      </c>
      <c r="P64" s="1" t="str">
        <f t="shared" ca="1" si="5"/>
        <v/>
      </c>
    </row>
    <row r="65" spans="1:16" s="2" customFormat="1" ht="17.25" thickBot="1">
      <c r="A65" s="2">
        <v>64</v>
      </c>
      <c r="B65" s="2">
        <v>57</v>
      </c>
      <c r="C65" s="2">
        <v>64</v>
      </c>
      <c r="D65" s="2" t="s">
        <v>8</v>
      </c>
      <c r="E65" s="2" t="s">
        <v>6</v>
      </c>
      <c r="F65" s="2" t="s">
        <v>16</v>
      </c>
      <c r="G65" s="2" t="s">
        <v>37</v>
      </c>
      <c r="H65" s="2" t="str">
        <f>GetSortedUniquePitchClasses(GetPitchClasses(CONCATENATE(D65, E65, F65, G65)))</f>
        <v>AC#EG</v>
      </c>
      <c r="I65" s="2" t="str">
        <f ca="1">IF(AND(ISNA(VLOOKUP(H65, Chords!K$2:K$169, 0, FALSE)), ISNA(VLOOKUP(H65, Chords!O$2:O$169, 0, FALSE))), "", "Yes")</f>
        <v/>
      </c>
      <c r="J65" s="2" t="str">
        <f t="shared" ca="1" si="0"/>
        <v>Yes</v>
      </c>
      <c r="K65" s="2" t="str">
        <f t="shared" si="1"/>
        <v/>
      </c>
      <c r="L65" s="2" t="str">
        <f t="shared" si="2"/>
        <v/>
      </c>
      <c r="M65" s="2" t="str">
        <f t="shared" si="3"/>
        <v/>
      </c>
      <c r="N65" s="2" t="str">
        <f t="shared" si="4"/>
        <v>AC#DEG</v>
      </c>
      <c r="O65" s="2" t="str">
        <f ca="1">IF(M65="Merged", "", IF(AND(ISNA(VLOOKUP(N65, Chords!K$2:K$169, 0, FALSE)), ISNA(VLOOKUP(N65, Chords!O$2:O$169, 0, FALSE))), "", "Yes"))</f>
        <v/>
      </c>
      <c r="P65" s="2" t="str">
        <f t="shared" ca="1" si="5"/>
        <v/>
      </c>
    </row>
    <row r="66" spans="1:16">
      <c r="A66" s="1">
        <v>65</v>
      </c>
      <c r="B66" s="1">
        <v>65</v>
      </c>
      <c r="C66" s="1">
        <v>72</v>
      </c>
      <c r="D66" s="1" t="s">
        <v>8</v>
      </c>
      <c r="G66" s="1" t="s">
        <v>46</v>
      </c>
      <c r="H66" s="1" t="str">
        <f>GetSortedUniquePitchClasses(GetPitchClasses(CONCATENATE(D66, E66, F66, G66)))</f>
        <v>AF#</v>
      </c>
      <c r="I66" s="1" t="str">
        <f ca="1">IF(AND(ISNA(VLOOKUP(H66, Chords!K$2:K$169, 0, FALSE)), ISNA(VLOOKUP(H66, Chords!O$2:O$169, 0, FALSE))), "", "Yes")</f>
        <v/>
      </c>
      <c r="J66" s="1" t="str">
        <f t="shared" ca="1" si="0"/>
        <v/>
      </c>
      <c r="K66" s="1" t="str">
        <f t="shared" si="1"/>
        <v>Yes</v>
      </c>
      <c r="L66" s="1" t="str">
        <f t="shared" si="2"/>
        <v/>
      </c>
      <c r="M66" s="1" t="str">
        <f t="shared" si="3"/>
        <v/>
      </c>
      <c r="N66" s="1" t="str">
        <f t="shared" si="4"/>
        <v>AF#</v>
      </c>
      <c r="O66" s="1" t="str">
        <f ca="1">IF(M66="Merged", "", IF(AND(ISNA(VLOOKUP(N66, Chords!K$2:K$169, 0, FALSE)), ISNA(VLOOKUP(N66, Chords!O$2:O$169, 0, FALSE))), "", "Yes"))</f>
        <v/>
      </c>
      <c r="P66" s="1" t="str">
        <f t="shared" ca="1" si="5"/>
        <v/>
      </c>
    </row>
    <row r="67" spans="1:16">
      <c r="A67" s="1">
        <v>66</v>
      </c>
      <c r="B67" s="1">
        <v>65</v>
      </c>
      <c r="C67" s="1">
        <v>72</v>
      </c>
      <c r="D67" s="1" t="s">
        <v>8</v>
      </c>
      <c r="E67" s="1" t="s">
        <v>2</v>
      </c>
      <c r="G67" s="1" t="s">
        <v>46</v>
      </c>
      <c r="H67" s="1" t="str">
        <f>GetSortedUniquePitchClasses(GetPitchClasses(CONCATENATE(D67, E67, F67, G67)))</f>
        <v>AF#</v>
      </c>
      <c r="I67" s="1" t="str">
        <f ca="1">IF(AND(ISNA(VLOOKUP(H67, Chords!K$2:K$169, 0, FALSE)), ISNA(VLOOKUP(H67, Chords!O$2:O$169, 0, FALSE))), "", "Yes")</f>
        <v/>
      </c>
      <c r="J67" s="1" t="str">
        <f t="shared" ref="J67:J107" ca="1" si="6">IF(AND(I67="", CountSortedUniquePitchClasses(H67)&gt;=3), "Yes", "")</f>
        <v/>
      </c>
      <c r="K67" s="1" t="str">
        <f t="shared" ref="K67:K107" si="7">IF(CountSortedUniquePitchClasses(H67)=2, "Yes", "")</f>
        <v>Yes</v>
      </c>
      <c r="L67" s="1" t="str">
        <f t="shared" ref="L67:L107" si="8">IF(CountSortedUniquePitchClasses(H67)=1, "Yes", "")</f>
        <v/>
      </c>
      <c r="M67" s="1" t="str">
        <f t="shared" ref="M67:M107" si="9">IF(H67=H66, "Merged", "")</f>
        <v>Merged</v>
      </c>
      <c r="N67" s="1" t="str">
        <f t="shared" ref="N67:N107" si="10">IF(M67="Merged", "", GetSortedUniquePitchClasses(CONCATENATE(IF(B66=B67, H66, ""), H67, IF(B67=B68, H68, ""))))</f>
        <v/>
      </c>
      <c r="O67" s="1" t="str">
        <f>IF(M67="Merged", "", IF(AND(ISNA(VLOOKUP(N67, Chords!K$2:K$169, 0, FALSE)), ISNA(VLOOKUP(N67, Chords!O$2:O$169, 0, FALSE))), "", "Yes"))</f>
        <v/>
      </c>
      <c r="P67" s="1" t="str">
        <f t="shared" ref="P67:P107" si="11">IF(O67="Yes", N67, "")</f>
        <v/>
      </c>
    </row>
    <row r="68" spans="1:16">
      <c r="A68" s="1">
        <v>67</v>
      </c>
      <c r="B68" s="1">
        <v>65</v>
      </c>
      <c r="C68" s="1">
        <v>72</v>
      </c>
      <c r="D68" s="1" t="s">
        <v>8</v>
      </c>
      <c r="E68" s="1" t="s">
        <v>7</v>
      </c>
      <c r="F68" s="1" t="s">
        <v>30</v>
      </c>
      <c r="G68" s="1" t="s">
        <v>36</v>
      </c>
      <c r="H68" s="1" t="str">
        <f>GetSortedUniquePitchClasses(GetPitchClasses(CONCATENATE(D68, E68, F68, G68)))</f>
        <v>AEF#</v>
      </c>
      <c r="I68" s="1" t="str">
        <f ca="1">IF(AND(ISNA(VLOOKUP(H68, Chords!K$2:K$169, 0, FALSE)), ISNA(VLOOKUP(H68, Chords!O$2:O$169, 0, FALSE))), "", "Yes")</f>
        <v/>
      </c>
      <c r="J68" s="1" t="str">
        <f t="shared" ca="1" si="6"/>
        <v>Yes</v>
      </c>
      <c r="K68" s="1" t="str">
        <f t="shared" si="7"/>
        <v/>
      </c>
      <c r="L68" s="1" t="str">
        <f t="shared" si="8"/>
        <v/>
      </c>
      <c r="M68" s="1" t="str">
        <f t="shared" si="9"/>
        <v/>
      </c>
      <c r="N68" s="1" t="str">
        <f t="shared" si="10"/>
        <v>ADEF#</v>
      </c>
      <c r="O68" s="1" t="str">
        <f ca="1">IF(M68="Merged", "", IF(AND(ISNA(VLOOKUP(N68, Chords!K$2:K$169, 0, FALSE)), ISNA(VLOOKUP(N68, Chords!O$2:O$169, 0, FALSE))), "", "Yes"))</f>
        <v/>
      </c>
      <c r="P68" s="1" t="str">
        <f t="shared" ca="1" si="11"/>
        <v/>
      </c>
    </row>
    <row r="69" spans="1:16">
      <c r="A69" s="1">
        <v>68</v>
      </c>
      <c r="B69" s="1">
        <v>65</v>
      </c>
      <c r="C69" s="1">
        <v>72</v>
      </c>
      <c r="D69" s="1" t="s">
        <v>8</v>
      </c>
      <c r="E69" s="1" t="s">
        <v>5</v>
      </c>
      <c r="F69" s="1" t="s">
        <v>30</v>
      </c>
      <c r="G69" s="1" t="s">
        <v>36</v>
      </c>
      <c r="H69" s="1" t="str">
        <f>GetSortedUniquePitchClasses(GetPitchClasses(CONCATENATE(D69, E69, F69, G69)))</f>
        <v>ADF#</v>
      </c>
      <c r="I69" s="1" t="str">
        <f ca="1">IF(AND(ISNA(VLOOKUP(H69, Chords!K$2:K$169, 0, FALSE)), ISNA(VLOOKUP(H69, Chords!O$2:O$169, 0, FALSE))), "", "Yes")</f>
        <v>Yes</v>
      </c>
      <c r="J69" s="1" t="str">
        <f t="shared" ca="1" si="6"/>
        <v/>
      </c>
      <c r="K69" s="1" t="str">
        <f t="shared" si="7"/>
        <v/>
      </c>
      <c r="L69" s="1" t="str">
        <f t="shared" si="8"/>
        <v/>
      </c>
      <c r="M69" s="1" t="str">
        <f t="shared" si="9"/>
        <v/>
      </c>
      <c r="N69" s="1" t="str">
        <f t="shared" si="10"/>
        <v>ADEF#</v>
      </c>
      <c r="O69" s="1" t="str">
        <f ca="1">IF(M69="Merged", "", IF(AND(ISNA(VLOOKUP(N69, Chords!K$2:K$169, 0, FALSE)), ISNA(VLOOKUP(N69, Chords!O$2:O$169, 0, FALSE))), "", "Yes"))</f>
        <v/>
      </c>
      <c r="P69" s="1" t="str">
        <f t="shared" ca="1" si="11"/>
        <v/>
      </c>
    </row>
    <row r="70" spans="1:16">
      <c r="A70" s="1">
        <v>69</v>
      </c>
      <c r="B70" s="1">
        <v>65</v>
      </c>
      <c r="C70" s="1">
        <v>72</v>
      </c>
      <c r="D70" s="1" t="s">
        <v>14</v>
      </c>
      <c r="G70" s="1" t="s">
        <v>48</v>
      </c>
      <c r="H70" s="1" t="str">
        <f>GetSortedUniquePitchClasses(GetPitchClasses(CONCATENATE(D70, E70, F70, G70)))</f>
        <v>DF#</v>
      </c>
      <c r="I70" s="1" t="str">
        <f ca="1">IF(AND(ISNA(VLOOKUP(H70, Chords!K$2:K$169, 0, FALSE)), ISNA(VLOOKUP(H70, Chords!O$2:O$169, 0, FALSE))), "", "Yes")</f>
        <v/>
      </c>
      <c r="J70" s="1" t="str">
        <f t="shared" ca="1" si="6"/>
        <v/>
      </c>
      <c r="K70" s="1" t="str">
        <f t="shared" si="7"/>
        <v>Yes</v>
      </c>
      <c r="L70" s="1" t="str">
        <f t="shared" si="8"/>
        <v/>
      </c>
      <c r="M70" s="1" t="str">
        <f t="shared" si="9"/>
        <v/>
      </c>
      <c r="N70" s="1" t="str">
        <f t="shared" si="10"/>
        <v>ADF#</v>
      </c>
      <c r="O70" s="1" t="str">
        <f ca="1">IF(M70="Merged", "", IF(AND(ISNA(VLOOKUP(N70, Chords!K$2:K$169, 0, FALSE)), ISNA(VLOOKUP(N70, Chords!O$2:O$169, 0, FALSE))), "", "Yes"))</f>
        <v>Yes</v>
      </c>
      <c r="P70" s="1" t="str">
        <f t="shared" ca="1" si="11"/>
        <v>ADF#</v>
      </c>
    </row>
    <row r="71" spans="1:16">
      <c r="A71" s="1">
        <v>70</v>
      </c>
      <c r="B71" s="1">
        <v>65</v>
      </c>
      <c r="C71" s="1">
        <v>72</v>
      </c>
      <c r="D71" s="1" t="s">
        <v>14</v>
      </c>
      <c r="E71" s="1" t="s">
        <v>2</v>
      </c>
      <c r="G71" s="1" t="s">
        <v>48</v>
      </c>
      <c r="H71" s="1" t="str">
        <f>GetSortedUniquePitchClasses(GetPitchClasses(CONCATENATE(D71, E71, F71, G71)))</f>
        <v>ADF#</v>
      </c>
      <c r="I71" s="1" t="str">
        <f ca="1">IF(AND(ISNA(VLOOKUP(H71, Chords!K$2:K$169, 0, FALSE)), ISNA(VLOOKUP(H71, Chords!O$2:O$169, 0, FALSE))), "", "Yes")</f>
        <v>Yes</v>
      </c>
      <c r="J71" s="1" t="str">
        <f t="shared" ca="1" si="6"/>
        <v/>
      </c>
      <c r="K71" s="1" t="str">
        <f t="shared" si="7"/>
        <v/>
      </c>
      <c r="L71" s="1" t="str">
        <f t="shared" si="8"/>
        <v/>
      </c>
      <c r="M71" s="1" t="str">
        <f t="shared" si="9"/>
        <v/>
      </c>
      <c r="N71" s="1" t="str">
        <f t="shared" si="10"/>
        <v>ADF#</v>
      </c>
      <c r="O71" s="1" t="str">
        <f ca="1">IF(M71="Merged", "", IF(AND(ISNA(VLOOKUP(N71, Chords!K$2:K$169, 0, FALSE)), ISNA(VLOOKUP(N71, Chords!O$2:O$169, 0, FALSE))), "", "Yes"))</f>
        <v>Yes</v>
      </c>
      <c r="P71" s="1" t="str">
        <f t="shared" ca="1" si="11"/>
        <v>ADF#</v>
      </c>
    </row>
    <row r="72" spans="1:16">
      <c r="A72" s="1">
        <v>71</v>
      </c>
      <c r="B72" s="1">
        <v>65</v>
      </c>
      <c r="C72" s="1">
        <v>72</v>
      </c>
      <c r="D72" s="1" t="s">
        <v>14</v>
      </c>
      <c r="E72" s="1" t="s">
        <v>5</v>
      </c>
      <c r="F72" s="1" t="s">
        <v>31</v>
      </c>
      <c r="G72" s="1" t="s">
        <v>33</v>
      </c>
      <c r="H72" s="1" t="str">
        <f>GetSortedUniquePitchClasses(GetPitchClasses(CONCATENATE(D72, E72, F72, G72)))</f>
        <v>DF#</v>
      </c>
      <c r="I72" s="1" t="str">
        <f ca="1">IF(AND(ISNA(VLOOKUP(H72, Chords!K$2:K$169, 0, FALSE)), ISNA(VLOOKUP(H72, Chords!O$2:O$169, 0, FALSE))), "", "Yes")</f>
        <v/>
      </c>
      <c r="J72" s="1" t="str">
        <f t="shared" ca="1" si="6"/>
        <v/>
      </c>
      <c r="K72" s="1" t="str">
        <f t="shared" si="7"/>
        <v>Yes</v>
      </c>
      <c r="L72" s="1" t="str">
        <f t="shared" si="8"/>
        <v/>
      </c>
      <c r="M72" s="1" t="str">
        <f t="shared" si="9"/>
        <v/>
      </c>
      <c r="N72" s="1" t="str">
        <f t="shared" si="10"/>
        <v>ACDF#</v>
      </c>
      <c r="O72" s="1" t="str">
        <f ca="1">IF(M72="Merged", "", IF(AND(ISNA(VLOOKUP(N72, Chords!K$2:K$169, 0, FALSE)), ISNA(VLOOKUP(N72, Chords!O$2:O$169, 0, FALSE))), "", "Yes"))</f>
        <v/>
      </c>
      <c r="P72" s="1" t="str">
        <f t="shared" ca="1" si="11"/>
        <v/>
      </c>
    </row>
    <row r="73" spans="1:16" s="2" customFormat="1" ht="17.25" thickBot="1">
      <c r="A73" s="2">
        <v>72</v>
      </c>
      <c r="B73" s="2">
        <v>65</v>
      </c>
      <c r="C73" s="2">
        <v>72</v>
      </c>
      <c r="D73" s="2" t="s">
        <v>14</v>
      </c>
      <c r="E73" s="2" t="s">
        <v>21</v>
      </c>
      <c r="F73" s="2" t="s">
        <v>31</v>
      </c>
      <c r="G73" s="2" t="s">
        <v>33</v>
      </c>
      <c r="H73" s="2" t="str">
        <f>GetSortedUniquePitchClasses(GetPitchClasses(CONCATENATE(D73, E73, F73, G73)))</f>
        <v>CDF#</v>
      </c>
      <c r="I73" s="2" t="str">
        <f ca="1">IF(AND(ISNA(VLOOKUP(H73, Chords!K$2:K$169, 0, FALSE)), ISNA(VLOOKUP(H73, Chords!O$2:O$169, 0, FALSE))), "", "Yes")</f>
        <v/>
      </c>
      <c r="J73" s="2" t="str">
        <f t="shared" ca="1" si="6"/>
        <v>Yes</v>
      </c>
      <c r="K73" s="2" t="str">
        <f t="shared" si="7"/>
        <v/>
      </c>
      <c r="L73" s="2" t="str">
        <f t="shared" si="8"/>
        <v/>
      </c>
      <c r="M73" s="2" t="str">
        <f t="shared" si="9"/>
        <v/>
      </c>
      <c r="N73" s="2" t="str">
        <f t="shared" si="10"/>
        <v>CDF#</v>
      </c>
      <c r="O73" s="2" t="str">
        <f ca="1">IF(M73="Merged", "", IF(AND(ISNA(VLOOKUP(N73, Chords!K$2:K$169, 0, FALSE)), ISNA(VLOOKUP(N73, Chords!O$2:O$169, 0, FALSE))), "", "Yes"))</f>
        <v/>
      </c>
      <c r="P73" s="2" t="str">
        <f t="shared" ca="1" si="11"/>
        <v/>
      </c>
    </row>
    <row r="74" spans="1:16">
      <c r="A74" s="1">
        <v>73</v>
      </c>
      <c r="B74" s="1">
        <v>73</v>
      </c>
      <c r="C74" s="1">
        <v>79</v>
      </c>
      <c r="D74" s="1" t="s">
        <v>9</v>
      </c>
      <c r="E74" s="1" t="s">
        <v>20</v>
      </c>
      <c r="F74" s="1" t="s">
        <v>32</v>
      </c>
      <c r="G74" s="1" t="s">
        <v>45</v>
      </c>
      <c r="H74" s="1" t="str">
        <f>GetSortedUniquePitchClasses(GetPitchClasses(CONCATENATE(D74, E74, F74, G74)))</f>
        <v>BDG</v>
      </c>
      <c r="I74" s="1" t="str">
        <f ca="1">IF(AND(ISNA(VLOOKUP(H74, Chords!K$2:K$169, 0, FALSE)), ISNA(VLOOKUP(H74, Chords!O$2:O$169, 0, FALSE))), "", "Yes")</f>
        <v>Yes</v>
      </c>
      <c r="J74" s="1" t="str">
        <f t="shared" ca="1" si="6"/>
        <v/>
      </c>
      <c r="K74" s="1" t="str">
        <f t="shared" si="7"/>
        <v/>
      </c>
      <c r="L74" s="1" t="str">
        <f t="shared" si="8"/>
        <v/>
      </c>
      <c r="M74" s="1" t="str">
        <f t="shared" si="9"/>
        <v/>
      </c>
      <c r="N74" s="1" t="str">
        <f t="shared" si="10"/>
        <v>BDG</v>
      </c>
      <c r="O74" s="1" t="str">
        <f ca="1">IF(M74="Merged", "", IF(AND(ISNA(VLOOKUP(N74, Chords!K$2:K$169, 0, FALSE)), ISNA(VLOOKUP(N74, Chords!O$2:O$169, 0, FALSE))), "", "Yes"))</f>
        <v>Yes</v>
      </c>
      <c r="P74" s="1" t="str">
        <f t="shared" ca="1" si="11"/>
        <v>BDG</v>
      </c>
    </row>
    <row r="75" spans="1:16">
      <c r="A75" s="1">
        <v>74</v>
      </c>
      <c r="B75" s="1">
        <v>73</v>
      </c>
      <c r="C75" s="1">
        <v>79</v>
      </c>
      <c r="D75" s="1" t="s">
        <v>9</v>
      </c>
      <c r="F75" s="1" t="s">
        <v>33</v>
      </c>
      <c r="G75" s="1" t="s">
        <v>48</v>
      </c>
      <c r="H75" s="1" t="str">
        <f>GetSortedUniquePitchClasses(GetPitchClasses(CONCATENATE(D75, E75, F75, G75)))</f>
        <v>DG</v>
      </c>
      <c r="I75" s="1" t="str">
        <f ca="1">IF(AND(ISNA(VLOOKUP(H75, Chords!K$2:K$169, 0, FALSE)), ISNA(VLOOKUP(H75, Chords!O$2:O$169, 0, FALSE))), "", "Yes")</f>
        <v/>
      </c>
      <c r="J75" s="1" t="str">
        <f t="shared" ca="1" si="6"/>
        <v/>
      </c>
      <c r="K75" s="1" t="str">
        <f t="shared" si="7"/>
        <v>Yes</v>
      </c>
      <c r="L75" s="1" t="str">
        <f t="shared" si="8"/>
        <v/>
      </c>
      <c r="M75" s="1" t="str">
        <f t="shared" si="9"/>
        <v/>
      </c>
      <c r="N75" s="1" t="str">
        <f t="shared" si="10"/>
        <v>BDF#G</v>
      </c>
      <c r="O75" s="1" t="str">
        <f ca="1">IF(M75="Merged", "", IF(AND(ISNA(VLOOKUP(N75, Chords!K$2:K$169, 0, FALSE)), ISNA(VLOOKUP(N75, Chords!O$2:O$169, 0, FALSE))), "", "Yes"))</f>
        <v/>
      </c>
      <c r="P75" s="1" t="str">
        <f t="shared" ca="1" si="11"/>
        <v/>
      </c>
    </row>
    <row r="76" spans="1:16">
      <c r="A76" s="1">
        <v>75</v>
      </c>
      <c r="B76" s="1">
        <v>73</v>
      </c>
      <c r="C76" s="1">
        <v>79</v>
      </c>
      <c r="D76" s="1" t="s">
        <v>9</v>
      </c>
      <c r="F76" s="1" t="s">
        <v>33</v>
      </c>
      <c r="G76" s="1" t="s">
        <v>46</v>
      </c>
      <c r="H76" s="1" t="str">
        <f>GetSortedUniquePitchClasses(GetPitchClasses(CONCATENATE(D76, E76, F76, G76)))</f>
        <v>DF#G</v>
      </c>
      <c r="I76" s="1" t="str">
        <f ca="1">IF(AND(ISNA(VLOOKUP(H76, Chords!K$2:K$169, 0, FALSE)), ISNA(VLOOKUP(H76, Chords!O$2:O$169, 0, FALSE))), "", "Yes")</f>
        <v/>
      </c>
      <c r="J76" s="1" t="str">
        <f t="shared" ca="1" si="6"/>
        <v>Yes</v>
      </c>
      <c r="K76" s="1" t="str">
        <f t="shared" si="7"/>
        <v/>
      </c>
      <c r="L76" s="1" t="str">
        <f t="shared" si="8"/>
        <v/>
      </c>
      <c r="M76" s="1" t="str">
        <f t="shared" si="9"/>
        <v/>
      </c>
      <c r="N76" s="1" t="str">
        <f t="shared" si="10"/>
        <v>ADF#G</v>
      </c>
      <c r="O76" s="1" t="str">
        <f ca="1">IF(M76="Merged", "", IF(AND(ISNA(VLOOKUP(N76, Chords!K$2:K$169, 0, FALSE)), ISNA(VLOOKUP(N76, Chords!O$2:O$169, 0, FALSE))), "", "Yes"))</f>
        <v/>
      </c>
      <c r="P76" s="1" t="str">
        <f t="shared" ca="1" si="11"/>
        <v/>
      </c>
    </row>
    <row r="77" spans="1:16">
      <c r="A77" s="1">
        <v>76</v>
      </c>
      <c r="B77" s="1">
        <v>73</v>
      </c>
      <c r="C77" s="1">
        <v>79</v>
      </c>
      <c r="D77" s="1" t="s">
        <v>8</v>
      </c>
      <c r="G77" s="1" t="s">
        <v>45</v>
      </c>
      <c r="H77" s="1" t="str">
        <f>GetSortedUniquePitchClasses(GetPitchClasses(CONCATENATE(D77, E77, F77, G77)))</f>
        <v>AG</v>
      </c>
      <c r="I77" s="1" t="str">
        <f ca="1">IF(AND(ISNA(VLOOKUP(H77, Chords!K$2:K$169, 0, FALSE)), ISNA(VLOOKUP(H77, Chords!O$2:O$169, 0, FALSE))), "", "Yes")</f>
        <v/>
      </c>
      <c r="J77" s="1" t="str">
        <f t="shared" ca="1" si="6"/>
        <v/>
      </c>
      <c r="K77" s="1" t="str">
        <f t="shared" si="7"/>
        <v>Yes</v>
      </c>
      <c r="L77" s="1" t="str">
        <f t="shared" si="8"/>
        <v/>
      </c>
      <c r="M77" s="1" t="str">
        <f t="shared" si="9"/>
        <v/>
      </c>
      <c r="N77" s="1" t="str">
        <f t="shared" si="10"/>
        <v>ADF#G</v>
      </c>
      <c r="O77" s="1" t="str">
        <f ca="1">IF(M77="Merged", "", IF(AND(ISNA(VLOOKUP(N77, Chords!K$2:K$169, 0, FALSE)), ISNA(VLOOKUP(N77, Chords!O$2:O$169, 0, FALSE))), "", "Yes"))</f>
        <v/>
      </c>
      <c r="P77" s="1" t="str">
        <f t="shared" ca="1" si="11"/>
        <v/>
      </c>
    </row>
    <row r="78" spans="1:16">
      <c r="A78" s="1">
        <v>77</v>
      </c>
      <c r="B78" s="1">
        <v>73</v>
      </c>
      <c r="C78" s="1">
        <v>79</v>
      </c>
      <c r="D78" s="1" t="s">
        <v>9</v>
      </c>
      <c r="G78" s="1" t="s">
        <v>45</v>
      </c>
      <c r="H78" s="1" t="str">
        <f>GetSortedUniquePitchClasses(GetPitchClasses(CONCATENATE(D78, E78, F78, G78)))</f>
        <v>G</v>
      </c>
      <c r="I78" s="1" t="str">
        <f ca="1">IF(AND(ISNA(VLOOKUP(H78, Chords!K$2:K$169, 0, FALSE)), ISNA(VLOOKUP(H78, Chords!O$2:O$169, 0, FALSE))), "", "Yes")</f>
        <v/>
      </c>
      <c r="J78" s="1" t="str">
        <f t="shared" ca="1" si="6"/>
        <v/>
      </c>
      <c r="K78" s="1" t="str">
        <f t="shared" si="7"/>
        <v/>
      </c>
      <c r="L78" s="1" t="str">
        <f t="shared" si="8"/>
        <v>Yes</v>
      </c>
      <c r="M78" s="1" t="str">
        <f t="shared" si="9"/>
        <v/>
      </c>
      <c r="N78" s="1" t="str">
        <f t="shared" si="10"/>
        <v>AF#G</v>
      </c>
      <c r="O78" s="1" t="str">
        <f ca="1">IF(M78="Merged", "", IF(AND(ISNA(VLOOKUP(N78, Chords!K$2:K$169, 0, FALSE)), ISNA(VLOOKUP(N78, Chords!O$2:O$169, 0, FALSE))), "", "Yes"))</f>
        <v/>
      </c>
      <c r="P78" s="1" t="str">
        <f t="shared" ca="1" si="11"/>
        <v/>
      </c>
    </row>
    <row r="79" spans="1:16">
      <c r="A79" s="1">
        <v>78</v>
      </c>
      <c r="B79" s="1">
        <v>73</v>
      </c>
      <c r="C79" s="1">
        <v>79</v>
      </c>
      <c r="D79" s="1" t="s">
        <v>14</v>
      </c>
      <c r="G79" s="1" t="s">
        <v>45</v>
      </c>
      <c r="H79" s="1" t="str">
        <f>GetSortedUniquePitchClasses(GetPitchClasses(CONCATENATE(D79, E79, F79, G79)))</f>
        <v>F#G</v>
      </c>
      <c r="I79" s="1" t="str">
        <f ca="1">IF(AND(ISNA(VLOOKUP(H79, Chords!K$2:K$169, 0, FALSE)), ISNA(VLOOKUP(H79, Chords!O$2:O$169, 0, FALSE))), "", "Yes")</f>
        <v/>
      </c>
      <c r="J79" s="1" t="str">
        <f t="shared" ca="1" si="6"/>
        <v/>
      </c>
      <c r="K79" s="1" t="str">
        <f t="shared" si="7"/>
        <v>Yes</v>
      </c>
      <c r="L79" s="1" t="str">
        <f t="shared" si="8"/>
        <v/>
      </c>
      <c r="M79" s="1" t="str">
        <f t="shared" si="9"/>
        <v/>
      </c>
      <c r="N79" s="1" t="str">
        <f t="shared" si="10"/>
        <v>EF#G</v>
      </c>
      <c r="O79" s="1" t="str">
        <f ca="1">IF(M79="Merged", "", IF(AND(ISNA(VLOOKUP(N79, Chords!K$2:K$169, 0, FALSE)), ISNA(VLOOKUP(N79, Chords!O$2:O$169, 0, FALSE))), "", "Yes"))</f>
        <v/>
      </c>
      <c r="P79" s="1" t="str">
        <f t="shared" ca="1" si="11"/>
        <v/>
      </c>
    </row>
    <row r="80" spans="1:16" s="2" customFormat="1" ht="17.25" thickBot="1">
      <c r="A80" s="2">
        <v>79</v>
      </c>
      <c r="B80" s="2">
        <v>73</v>
      </c>
      <c r="C80" s="2">
        <v>79</v>
      </c>
      <c r="D80" s="2" t="s">
        <v>7</v>
      </c>
      <c r="G80" s="2" t="s">
        <v>45</v>
      </c>
      <c r="H80" s="2" t="str">
        <f>GetSortedUniquePitchClasses(GetPitchClasses(CONCATENATE(D80, E80, F80, G80)))</f>
        <v>EG</v>
      </c>
      <c r="I80" s="2" t="str">
        <f ca="1">IF(AND(ISNA(VLOOKUP(H80, Chords!K$2:K$169, 0, FALSE)), ISNA(VLOOKUP(H80, Chords!O$2:O$169, 0, FALSE))), "", "Yes")</f>
        <v/>
      </c>
      <c r="J80" s="2" t="str">
        <f t="shared" ca="1" si="6"/>
        <v/>
      </c>
      <c r="K80" s="2" t="str">
        <f t="shared" si="7"/>
        <v>Yes</v>
      </c>
      <c r="L80" s="2" t="str">
        <f t="shared" si="8"/>
        <v/>
      </c>
      <c r="M80" s="2" t="str">
        <f t="shared" si="9"/>
        <v/>
      </c>
      <c r="N80" s="2" t="str">
        <f t="shared" si="10"/>
        <v>EF#G</v>
      </c>
      <c r="O80" s="2" t="str">
        <f ca="1">IF(M80="Merged", "", IF(AND(ISNA(VLOOKUP(N80, Chords!K$2:K$169, 0, FALSE)), ISNA(VLOOKUP(N80, Chords!O$2:O$169, 0, FALSE))), "", "Yes"))</f>
        <v/>
      </c>
      <c r="P80" s="2" t="str">
        <f t="shared" ca="1" si="11"/>
        <v/>
      </c>
    </row>
    <row r="81" spans="1:16">
      <c r="A81" s="1">
        <v>80</v>
      </c>
      <c r="B81" s="1">
        <v>80</v>
      </c>
      <c r="C81" s="1">
        <v>83</v>
      </c>
      <c r="D81" s="1" t="s">
        <v>5</v>
      </c>
      <c r="F81" s="1" t="s">
        <v>34</v>
      </c>
      <c r="G81" s="1" t="s">
        <v>44</v>
      </c>
      <c r="H81" s="1" t="str">
        <f>GetSortedUniquePitchClasses(GetPitchClasses(CONCATENATE(D81, E81, F81, G81)))</f>
        <v>ACD</v>
      </c>
      <c r="I81" s="1" t="str">
        <f ca="1">IF(AND(ISNA(VLOOKUP(H81, Chords!K$2:K$169, 0, FALSE)), ISNA(VLOOKUP(H81, Chords!O$2:O$169, 0, FALSE))), "", "Yes")</f>
        <v/>
      </c>
      <c r="J81" s="1" t="str">
        <f t="shared" ca="1" si="6"/>
        <v>Yes</v>
      </c>
      <c r="K81" s="1" t="str">
        <f t="shared" si="7"/>
        <v/>
      </c>
      <c r="L81" s="1" t="str">
        <f t="shared" si="8"/>
        <v/>
      </c>
      <c r="M81" s="1" t="str">
        <f t="shared" si="9"/>
        <v/>
      </c>
      <c r="N81" s="1" t="str">
        <f t="shared" si="10"/>
        <v>ACD</v>
      </c>
      <c r="O81" s="1" t="str">
        <f ca="1">IF(M81="Merged", "", IF(AND(ISNA(VLOOKUP(N81, Chords!K$2:K$169, 0, FALSE)), ISNA(VLOOKUP(N81, Chords!O$2:O$169, 0, FALSE))), "", "Yes"))</f>
        <v/>
      </c>
      <c r="P81" s="1" t="str">
        <f t="shared" ca="1" si="11"/>
        <v/>
      </c>
    </row>
    <row r="82" spans="1:16">
      <c r="A82" s="1">
        <v>81</v>
      </c>
      <c r="B82" s="1">
        <v>80</v>
      </c>
      <c r="C82" s="1">
        <v>83</v>
      </c>
      <c r="D82" s="1" t="s">
        <v>5</v>
      </c>
      <c r="E82" s="1" t="s">
        <v>0</v>
      </c>
      <c r="F82" s="1" t="s">
        <v>34</v>
      </c>
      <c r="G82" s="1" t="s">
        <v>48</v>
      </c>
      <c r="H82" s="1" t="str">
        <f>GetSortedUniquePitchClasses(GetPitchClasses(CONCATENATE(D82, E82, F82, G82)))</f>
        <v>CD</v>
      </c>
      <c r="I82" s="1" t="str">
        <f ca="1">IF(AND(ISNA(VLOOKUP(H82, Chords!K$2:K$169, 0, FALSE)), ISNA(VLOOKUP(H82, Chords!O$2:O$169, 0, FALSE))), "", "Yes")</f>
        <v/>
      </c>
      <c r="J82" s="1" t="str">
        <f t="shared" ca="1" si="6"/>
        <v/>
      </c>
      <c r="K82" s="1" t="str">
        <f t="shared" si="7"/>
        <v>Yes</v>
      </c>
      <c r="L82" s="1" t="str">
        <f t="shared" si="8"/>
        <v/>
      </c>
      <c r="M82" s="1" t="str">
        <f t="shared" si="9"/>
        <v/>
      </c>
      <c r="N82" s="1" t="str">
        <f t="shared" si="10"/>
        <v>ACDG#</v>
      </c>
      <c r="O82" s="1" t="str">
        <f ca="1">IF(M82="Merged", "", IF(AND(ISNA(VLOOKUP(N82, Chords!K$2:K$169, 0, FALSE)), ISNA(VLOOKUP(N82, Chords!O$2:O$169, 0, FALSE))), "", "Yes"))</f>
        <v/>
      </c>
      <c r="P82" s="1" t="str">
        <f t="shared" ca="1" si="11"/>
        <v/>
      </c>
    </row>
    <row r="83" spans="1:16">
      <c r="A83" s="1">
        <v>82</v>
      </c>
      <c r="B83" s="1">
        <v>80</v>
      </c>
      <c r="C83" s="1">
        <v>83</v>
      </c>
      <c r="D83" s="1" t="s">
        <v>5</v>
      </c>
      <c r="E83" s="1" t="s">
        <v>0</v>
      </c>
      <c r="F83" s="1" t="s">
        <v>34</v>
      </c>
      <c r="G83" s="1" t="s">
        <v>49</v>
      </c>
      <c r="H83" s="1" t="str">
        <f>GetSortedUniquePitchClasses(GetPitchClasses(CONCATENATE(D83, E83, F83, G83)))</f>
        <v>CDG#</v>
      </c>
      <c r="I83" s="1" t="str">
        <f ca="1">IF(AND(ISNA(VLOOKUP(H83, Chords!K$2:K$169, 0, FALSE)), ISNA(VLOOKUP(H83, Chords!O$2:O$169, 0, FALSE))), "", "Yes")</f>
        <v/>
      </c>
      <c r="J83" s="1" t="str">
        <f t="shared" ca="1" si="6"/>
        <v>Yes</v>
      </c>
      <c r="K83" s="1" t="str">
        <f t="shared" si="7"/>
        <v/>
      </c>
      <c r="L83" s="1" t="str">
        <f t="shared" si="8"/>
        <v/>
      </c>
      <c r="M83" s="1" t="str">
        <f t="shared" si="9"/>
        <v/>
      </c>
      <c r="N83" s="1" t="str">
        <f t="shared" si="10"/>
        <v>ACDG#</v>
      </c>
      <c r="O83" s="1" t="str">
        <f ca="1">IF(M83="Merged", "", IF(AND(ISNA(VLOOKUP(N83, Chords!K$2:K$169, 0, FALSE)), ISNA(VLOOKUP(N83, Chords!O$2:O$169, 0, FALSE))), "", "Yes"))</f>
        <v/>
      </c>
      <c r="P83" s="1" t="str">
        <f t="shared" ca="1" si="11"/>
        <v/>
      </c>
    </row>
    <row r="84" spans="1:16" s="2" customFormat="1" ht="17.25" thickBot="1">
      <c r="A84" s="2">
        <v>83</v>
      </c>
      <c r="B84" s="2">
        <v>80</v>
      </c>
      <c r="C84" s="2">
        <v>83</v>
      </c>
      <c r="D84" s="2" t="s">
        <v>5</v>
      </c>
      <c r="E84" s="2" t="s">
        <v>0</v>
      </c>
      <c r="F84" s="2" t="s">
        <v>34</v>
      </c>
      <c r="G84" s="2" t="s">
        <v>44</v>
      </c>
      <c r="H84" s="2" t="str">
        <f>GetSortedUniquePitchClasses(GetPitchClasses(CONCATENATE(D84, E84, F84, G84)))</f>
        <v>ACD</v>
      </c>
      <c r="I84" s="2" t="str">
        <f ca="1">IF(AND(ISNA(VLOOKUP(H84, Chords!K$2:K$169, 0, FALSE)), ISNA(VLOOKUP(H84, Chords!O$2:O$169, 0, FALSE))), "", "Yes")</f>
        <v/>
      </c>
      <c r="J84" s="2" t="str">
        <f t="shared" ca="1" si="6"/>
        <v>Yes</v>
      </c>
      <c r="K84" s="2" t="str">
        <f t="shared" si="7"/>
        <v/>
      </c>
      <c r="L84" s="2" t="str">
        <f t="shared" si="8"/>
        <v/>
      </c>
      <c r="M84" s="2" t="str">
        <f t="shared" si="9"/>
        <v/>
      </c>
      <c r="N84" s="2" t="str">
        <f t="shared" si="10"/>
        <v>ACDG#</v>
      </c>
      <c r="O84" s="2" t="str">
        <f ca="1">IF(M84="Merged", "", IF(AND(ISNA(VLOOKUP(N84, Chords!K$2:K$169, 0, FALSE)), ISNA(VLOOKUP(N84, Chords!O$2:O$169, 0, FALSE))), "", "Yes"))</f>
        <v/>
      </c>
      <c r="P84" s="2" t="str">
        <f t="shared" ca="1" si="11"/>
        <v/>
      </c>
    </row>
    <row r="85" spans="1:16">
      <c r="A85" s="1">
        <v>84</v>
      </c>
      <c r="B85" s="1">
        <v>84</v>
      </c>
      <c r="C85" s="1">
        <v>90</v>
      </c>
      <c r="D85" s="1" t="s">
        <v>5</v>
      </c>
      <c r="E85" s="1" t="s">
        <v>3</v>
      </c>
      <c r="F85" s="1" t="s">
        <v>35</v>
      </c>
      <c r="G85" s="1" t="s">
        <v>41</v>
      </c>
      <c r="H85" s="1" t="str">
        <f>GetSortedUniquePitchClasses(GetPitchClasses(CONCATENATE(D85, E85, F85, G85)))</f>
        <v>BDG</v>
      </c>
      <c r="I85" s="1" t="str">
        <f ca="1">IF(AND(ISNA(VLOOKUP(H85, Chords!K$2:K$169, 0, FALSE)), ISNA(VLOOKUP(H85, Chords!O$2:O$169, 0, FALSE))), "", "Yes")</f>
        <v>Yes</v>
      </c>
      <c r="J85" s="1" t="str">
        <f t="shared" ca="1" si="6"/>
        <v/>
      </c>
      <c r="K85" s="1" t="str">
        <f t="shared" si="7"/>
        <v/>
      </c>
      <c r="L85" s="1" t="str">
        <f t="shared" si="8"/>
        <v/>
      </c>
      <c r="M85" s="1" t="str">
        <f t="shared" si="9"/>
        <v/>
      </c>
      <c r="N85" s="1" t="str">
        <f t="shared" si="10"/>
        <v>BDG</v>
      </c>
      <c r="O85" s="1" t="str">
        <f ca="1">IF(M85="Merged", "", IF(AND(ISNA(VLOOKUP(N85, Chords!K$2:K$169, 0, FALSE)), ISNA(VLOOKUP(N85, Chords!O$2:O$169, 0, FALSE))), "", "Yes"))</f>
        <v>Yes</v>
      </c>
      <c r="P85" s="1" t="str">
        <f t="shared" ca="1" si="11"/>
        <v>BDG</v>
      </c>
    </row>
    <row r="86" spans="1:16">
      <c r="A86" s="1">
        <v>85</v>
      </c>
      <c r="B86" s="1">
        <v>84</v>
      </c>
      <c r="C86" s="1">
        <v>90</v>
      </c>
      <c r="D86" s="1" t="s">
        <v>5</v>
      </c>
      <c r="E86" s="1" t="s">
        <v>3</v>
      </c>
      <c r="F86" s="1" t="s">
        <v>33</v>
      </c>
      <c r="G86" s="1" t="s">
        <v>48</v>
      </c>
      <c r="H86" s="1" t="str">
        <f>GetSortedUniquePitchClasses(GetPitchClasses(CONCATENATE(D86, E86, F86, G86)))</f>
        <v>DG</v>
      </c>
      <c r="I86" s="1" t="str">
        <f ca="1">IF(AND(ISNA(VLOOKUP(H86, Chords!K$2:K$169, 0, FALSE)), ISNA(VLOOKUP(H86, Chords!O$2:O$169, 0, FALSE))), "", "Yes")</f>
        <v/>
      </c>
      <c r="J86" s="1" t="str">
        <f t="shared" ca="1" si="6"/>
        <v/>
      </c>
      <c r="K86" s="1" t="str">
        <f t="shared" si="7"/>
        <v>Yes</v>
      </c>
      <c r="L86" s="1" t="str">
        <f t="shared" si="8"/>
        <v/>
      </c>
      <c r="M86" s="1" t="str">
        <f t="shared" si="9"/>
        <v/>
      </c>
      <c r="N86" s="1" t="str">
        <f t="shared" si="10"/>
        <v>ABDF#G</v>
      </c>
      <c r="O86" s="1" t="str">
        <f ca="1">IF(M86="Merged", "", IF(AND(ISNA(VLOOKUP(N86, Chords!K$2:K$169, 0, FALSE)), ISNA(VLOOKUP(N86, Chords!O$2:O$169, 0, FALSE))), "", "Yes"))</f>
        <v/>
      </c>
      <c r="P86" s="1" t="str">
        <f t="shared" ca="1" si="11"/>
        <v/>
      </c>
    </row>
    <row r="87" spans="1:16">
      <c r="A87" s="1">
        <v>86</v>
      </c>
      <c r="B87" s="1">
        <v>84</v>
      </c>
      <c r="C87" s="1">
        <v>90</v>
      </c>
      <c r="E87" s="1" t="s">
        <v>3</v>
      </c>
      <c r="F87" s="1" t="s">
        <v>36</v>
      </c>
      <c r="G87" s="1" t="s">
        <v>44</v>
      </c>
      <c r="H87" s="1" t="str">
        <f>GetSortedUniquePitchClasses(GetPitchClasses(CONCATENATE(D87, E87, F87, G87)))</f>
        <v>AF#G</v>
      </c>
      <c r="I87" s="1" t="str">
        <f ca="1">IF(AND(ISNA(VLOOKUP(H87, Chords!K$2:K$169, 0, FALSE)), ISNA(VLOOKUP(H87, Chords!O$2:O$169, 0, FALSE))), "", "Yes")</f>
        <v/>
      </c>
      <c r="J87" s="1" t="str">
        <f t="shared" ca="1" si="6"/>
        <v>Yes</v>
      </c>
      <c r="K87" s="1" t="str">
        <f t="shared" si="7"/>
        <v/>
      </c>
      <c r="L87" s="1" t="str">
        <f t="shared" si="8"/>
        <v/>
      </c>
      <c r="M87" s="1" t="str">
        <f t="shared" si="9"/>
        <v/>
      </c>
      <c r="N87" s="1" t="str">
        <f t="shared" si="10"/>
        <v>ABDF#G</v>
      </c>
      <c r="O87" s="1" t="str">
        <f ca="1">IF(M87="Merged", "", IF(AND(ISNA(VLOOKUP(N87, Chords!K$2:K$169, 0, FALSE)), ISNA(VLOOKUP(N87, Chords!O$2:O$169, 0, FALSE))), "", "Yes"))</f>
        <v/>
      </c>
      <c r="P87" s="1" t="str">
        <f t="shared" ca="1" si="11"/>
        <v/>
      </c>
    </row>
    <row r="88" spans="1:16">
      <c r="A88" s="1">
        <v>87</v>
      </c>
      <c r="B88" s="1">
        <v>84</v>
      </c>
      <c r="C88" s="1">
        <v>90</v>
      </c>
      <c r="E88" s="1" t="s">
        <v>2</v>
      </c>
      <c r="F88" s="1" t="s">
        <v>37</v>
      </c>
      <c r="G88" s="1" t="s">
        <v>41</v>
      </c>
      <c r="H88" s="1" t="str">
        <f>GetSortedUniquePitchClasses(GetPitchClasses(CONCATENATE(D88, E88, F88, G88)))</f>
        <v>ABG</v>
      </c>
      <c r="I88" s="1" t="str">
        <f ca="1">IF(AND(ISNA(VLOOKUP(H88, Chords!K$2:K$169, 0, FALSE)), ISNA(VLOOKUP(H88, Chords!O$2:O$169, 0, FALSE))), "", "Yes")</f>
        <v/>
      </c>
      <c r="J88" s="1" t="str">
        <f t="shared" ca="1" si="6"/>
        <v>Yes</v>
      </c>
      <c r="K88" s="1" t="str">
        <f t="shared" si="7"/>
        <v/>
      </c>
      <c r="L88" s="1" t="str">
        <f t="shared" si="8"/>
        <v/>
      </c>
      <c r="M88" s="1" t="str">
        <f t="shared" si="9"/>
        <v/>
      </c>
      <c r="N88" s="1" t="str">
        <f t="shared" si="10"/>
        <v>ABF#G</v>
      </c>
      <c r="O88" s="1" t="str">
        <f ca="1">IF(M88="Merged", "", IF(AND(ISNA(VLOOKUP(N88, Chords!K$2:K$169, 0, FALSE)), ISNA(VLOOKUP(N88, Chords!O$2:O$169, 0, FALSE))), "", "Yes"))</f>
        <v/>
      </c>
      <c r="P88" s="1" t="str">
        <f t="shared" ca="1" si="11"/>
        <v/>
      </c>
    </row>
    <row r="89" spans="1:16">
      <c r="A89" s="1">
        <v>88</v>
      </c>
      <c r="B89" s="1">
        <v>84</v>
      </c>
      <c r="C89" s="1">
        <v>90</v>
      </c>
      <c r="E89" s="1" t="s">
        <v>3</v>
      </c>
      <c r="F89" s="1" t="s">
        <v>37</v>
      </c>
      <c r="G89" s="1" t="s">
        <v>41</v>
      </c>
      <c r="H89" s="1" t="str">
        <f>GetSortedUniquePitchClasses(GetPitchClasses(CONCATENATE(D89, E89, F89, G89)))</f>
        <v>BG</v>
      </c>
      <c r="I89" s="1" t="str">
        <f ca="1">IF(AND(ISNA(VLOOKUP(H89, Chords!K$2:K$169, 0, FALSE)), ISNA(VLOOKUP(H89, Chords!O$2:O$169, 0, FALSE))), "", "Yes")</f>
        <v/>
      </c>
      <c r="J89" s="1" t="str">
        <f t="shared" ca="1" si="6"/>
        <v/>
      </c>
      <c r="K89" s="1" t="str">
        <f t="shared" si="7"/>
        <v>Yes</v>
      </c>
      <c r="L89" s="1" t="str">
        <f t="shared" si="8"/>
        <v/>
      </c>
      <c r="M89" s="1" t="str">
        <f t="shared" si="9"/>
        <v/>
      </c>
      <c r="N89" s="1" t="str">
        <f t="shared" si="10"/>
        <v>ABF#G</v>
      </c>
      <c r="O89" s="1" t="str">
        <f ca="1">IF(M89="Merged", "", IF(AND(ISNA(VLOOKUP(N89, Chords!K$2:K$169, 0, FALSE)), ISNA(VLOOKUP(N89, Chords!O$2:O$169, 0, FALSE))), "", "Yes"))</f>
        <v/>
      </c>
      <c r="P89" s="1" t="str">
        <f t="shared" ca="1" si="11"/>
        <v/>
      </c>
    </row>
    <row r="90" spans="1:16">
      <c r="A90" s="1">
        <v>89</v>
      </c>
      <c r="B90" s="1">
        <v>84</v>
      </c>
      <c r="C90" s="1">
        <v>90</v>
      </c>
      <c r="E90" s="1" t="s">
        <v>22</v>
      </c>
      <c r="F90" s="1" t="s">
        <v>37</v>
      </c>
      <c r="G90" s="1" t="s">
        <v>41</v>
      </c>
      <c r="H90" s="1" t="str">
        <f>GetSortedUniquePitchClasses(GetPitchClasses(CONCATENATE(D90, E90, F90, G90)))</f>
        <v>BF#G</v>
      </c>
      <c r="I90" s="1" t="str">
        <f ca="1">IF(AND(ISNA(VLOOKUP(H90, Chords!K$2:K$169, 0, FALSE)), ISNA(VLOOKUP(H90, Chords!O$2:O$169, 0, FALSE))), "", "Yes")</f>
        <v/>
      </c>
      <c r="J90" s="1" t="str">
        <f t="shared" ca="1" si="6"/>
        <v>Yes</v>
      </c>
      <c r="K90" s="1" t="str">
        <f t="shared" si="7"/>
        <v/>
      </c>
      <c r="L90" s="1" t="str">
        <f t="shared" si="8"/>
        <v/>
      </c>
      <c r="M90" s="1" t="str">
        <f t="shared" si="9"/>
        <v/>
      </c>
      <c r="N90" s="1" t="str">
        <f t="shared" si="10"/>
        <v>BEF#G</v>
      </c>
      <c r="O90" s="1" t="str">
        <f ca="1">IF(M90="Merged", "", IF(AND(ISNA(VLOOKUP(N90, Chords!K$2:K$169, 0, FALSE)), ISNA(VLOOKUP(N90, Chords!O$2:O$169, 0, FALSE))), "", "Yes"))</f>
        <v/>
      </c>
      <c r="P90" s="1" t="str">
        <f t="shared" ca="1" si="11"/>
        <v/>
      </c>
    </row>
    <row r="91" spans="1:16" s="2" customFormat="1" ht="17.25" thickBot="1">
      <c r="A91" s="2">
        <v>90</v>
      </c>
      <c r="B91" s="2">
        <v>84</v>
      </c>
      <c r="C91" s="2">
        <v>90</v>
      </c>
      <c r="E91" s="2" t="s">
        <v>16</v>
      </c>
      <c r="F91" s="2" t="s">
        <v>37</v>
      </c>
      <c r="G91" s="2" t="s">
        <v>41</v>
      </c>
      <c r="H91" s="2" t="str">
        <f>GetSortedUniquePitchClasses(GetPitchClasses(CONCATENATE(D91, E91, F91, G91)))</f>
        <v>BEG</v>
      </c>
      <c r="I91" s="2" t="str">
        <f ca="1">IF(AND(ISNA(VLOOKUP(H91, Chords!K$2:K$169, 0, FALSE)), ISNA(VLOOKUP(H91, Chords!O$2:O$169, 0, FALSE))), "", "Yes")</f>
        <v>Yes</v>
      </c>
      <c r="J91" s="2" t="str">
        <f t="shared" ca="1" si="6"/>
        <v/>
      </c>
      <c r="K91" s="2" t="str">
        <f t="shared" si="7"/>
        <v/>
      </c>
      <c r="L91" s="2" t="str">
        <f t="shared" si="8"/>
        <v/>
      </c>
      <c r="M91" s="2" t="str">
        <f t="shared" si="9"/>
        <v/>
      </c>
      <c r="N91" s="2" t="str">
        <f t="shared" si="10"/>
        <v>BEF#G</v>
      </c>
      <c r="O91" s="2" t="str">
        <f ca="1">IF(M91="Merged", "", IF(AND(ISNA(VLOOKUP(N91, Chords!K$2:K$169, 0, FALSE)), ISNA(VLOOKUP(N91, Chords!O$2:O$169, 0, FALSE))), "", "Yes"))</f>
        <v/>
      </c>
      <c r="P91" s="2" t="str">
        <f t="shared" ca="1" si="11"/>
        <v/>
      </c>
    </row>
    <row r="92" spans="1:16">
      <c r="A92" s="1">
        <v>91</v>
      </c>
      <c r="B92" s="1">
        <v>91</v>
      </c>
      <c r="C92" s="1">
        <v>94</v>
      </c>
      <c r="E92" s="1" t="s">
        <v>0</v>
      </c>
      <c r="F92" s="1" t="s">
        <v>38</v>
      </c>
      <c r="G92" s="1" t="s">
        <v>50</v>
      </c>
      <c r="H92" s="1" t="str">
        <f>GetSortedUniquePitchClasses(GetPitchClasses(CONCATENATE(D92, E92, F92, G92)))</f>
        <v>ACD</v>
      </c>
      <c r="I92" s="1" t="str">
        <f ca="1">IF(AND(ISNA(VLOOKUP(H92, Chords!K$2:K$169, 0, FALSE)), ISNA(VLOOKUP(H92, Chords!O$2:O$169, 0, FALSE))), "", "Yes")</f>
        <v/>
      </c>
      <c r="J92" s="1" t="str">
        <f t="shared" ca="1" si="6"/>
        <v>Yes</v>
      </c>
      <c r="K92" s="1" t="str">
        <f t="shared" si="7"/>
        <v/>
      </c>
      <c r="L92" s="1" t="str">
        <f t="shared" si="8"/>
        <v/>
      </c>
      <c r="M92" s="1" t="str">
        <f t="shared" si="9"/>
        <v/>
      </c>
      <c r="N92" s="1" t="str">
        <f t="shared" si="10"/>
        <v>ACD</v>
      </c>
      <c r="O92" s="1" t="str">
        <f ca="1">IF(M92="Merged", "", IF(AND(ISNA(VLOOKUP(N92, Chords!K$2:K$169, 0, FALSE)), ISNA(VLOOKUP(N92, Chords!O$2:O$169, 0, FALSE))), "", "Yes"))</f>
        <v/>
      </c>
      <c r="P92" s="1" t="str">
        <f t="shared" ca="1" si="11"/>
        <v/>
      </c>
    </row>
    <row r="93" spans="1:16">
      <c r="A93" s="1">
        <v>92</v>
      </c>
      <c r="B93" s="1">
        <v>91</v>
      </c>
      <c r="C93" s="1">
        <v>94</v>
      </c>
      <c r="D93" s="1" t="s">
        <v>5</v>
      </c>
      <c r="E93" s="1" t="s">
        <v>0</v>
      </c>
      <c r="F93" s="1" t="s">
        <v>33</v>
      </c>
      <c r="G93" s="1" t="s">
        <v>48</v>
      </c>
      <c r="H93" s="1" t="str">
        <f>GetSortedUniquePitchClasses(GetPitchClasses(CONCATENATE(D93, E93, F93, G93)))</f>
        <v>D</v>
      </c>
      <c r="I93" s="1" t="str">
        <f ca="1">IF(AND(ISNA(VLOOKUP(H93, Chords!K$2:K$169, 0, FALSE)), ISNA(VLOOKUP(H93, Chords!O$2:O$169, 0, FALSE))), "", "Yes")</f>
        <v/>
      </c>
      <c r="J93" s="1" t="str">
        <f t="shared" ca="1" si="6"/>
        <v/>
      </c>
      <c r="K93" s="1" t="str">
        <f t="shared" si="7"/>
        <v/>
      </c>
      <c r="L93" s="1" t="str">
        <f t="shared" si="8"/>
        <v>Yes</v>
      </c>
      <c r="M93" s="1" t="str">
        <f t="shared" si="9"/>
        <v/>
      </c>
      <c r="N93" s="1" t="str">
        <f t="shared" si="10"/>
        <v>ACDEG</v>
      </c>
      <c r="O93" s="1" t="str">
        <f ca="1">IF(M93="Merged", "", IF(AND(ISNA(VLOOKUP(N93, Chords!K$2:K$169, 0, FALSE)), ISNA(VLOOKUP(N93, Chords!O$2:O$169, 0, FALSE))), "", "Yes"))</f>
        <v/>
      </c>
      <c r="P93" s="1" t="str">
        <f t="shared" ca="1" si="11"/>
        <v/>
      </c>
    </row>
    <row r="94" spans="1:16">
      <c r="A94" s="1">
        <v>93</v>
      </c>
      <c r="B94" s="1">
        <v>91</v>
      </c>
      <c r="C94" s="1">
        <v>94</v>
      </c>
      <c r="D94" s="1" t="s">
        <v>5</v>
      </c>
      <c r="E94" s="1" t="s">
        <v>0</v>
      </c>
      <c r="F94" s="1" t="s">
        <v>37</v>
      </c>
      <c r="G94" s="1" t="s">
        <v>47</v>
      </c>
      <c r="H94" s="1" t="str">
        <f>GetSortedUniquePitchClasses(GetPitchClasses(CONCATENATE(D94, E94, F94, G94)))</f>
        <v>DEG</v>
      </c>
      <c r="I94" s="1" t="str">
        <f ca="1">IF(AND(ISNA(VLOOKUP(H94, Chords!K$2:K$169, 0, FALSE)), ISNA(VLOOKUP(H94, Chords!O$2:O$169, 0, FALSE))), "", "Yes")</f>
        <v/>
      </c>
      <c r="J94" s="1" t="str">
        <f t="shared" ca="1" si="6"/>
        <v>Yes</v>
      </c>
      <c r="K94" s="1" t="str">
        <f t="shared" si="7"/>
        <v/>
      </c>
      <c r="L94" s="1" t="str">
        <f t="shared" si="8"/>
        <v/>
      </c>
      <c r="M94" s="1" t="str">
        <f t="shared" si="9"/>
        <v/>
      </c>
      <c r="N94" s="1" t="str">
        <f t="shared" si="10"/>
        <v>ADEF#G</v>
      </c>
      <c r="O94" s="1" t="str">
        <f ca="1">IF(M94="Merged", "", IF(AND(ISNA(VLOOKUP(N94, Chords!K$2:K$169, 0, FALSE)), ISNA(VLOOKUP(N94, Chords!O$2:O$169, 0, FALSE))), "", "Yes"))</f>
        <v/>
      </c>
      <c r="P94" s="1" t="str">
        <f t="shared" ca="1" si="11"/>
        <v/>
      </c>
    </row>
    <row r="95" spans="1:16" s="2" customFormat="1" ht="17.25" thickBot="1">
      <c r="A95" s="2">
        <v>94</v>
      </c>
      <c r="B95" s="2">
        <v>91</v>
      </c>
      <c r="C95" s="2">
        <v>94</v>
      </c>
      <c r="D95" s="2" t="s">
        <v>5</v>
      </c>
      <c r="E95" s="2" t="s">
        <v>0</v>
      </c>
      <c r="F95" s="2" t="s">
        <v>38</v>
      </c>
      <c r="G95" s="2" t="s">
        <v>46</v>
      </c>
      <c r="H95" s="2" t="str">
        <f>GetSortedUniquePitchClasses(GetPitchClasses(CONCATENATE(D95, E95, F95, G95)))</f>
        <v>ADF#</v>
      </c>
      <c r="I95" s="2" t="str">
        <f ca="1">IF(AND(ISNA(VLOOKUP(H95, Chords!K$2:K$169, 0, FALSE)), ISNA(VLOOKUP(H95, Chords!O$2:O$169, 0, FALSE))), "", "Yes")</f>
        <v>Yes</v>
      </c>
      <c r="J95" s="2" t="str">
        <f t="shared" ca="1" si="6"/>
        <v/>
      </c>
      <c r="K95" s="2" t="str">
        <f t="shared" si="7"/>
        <v/>
      </c>
      <c r="L95" s="2" t="str">
        <f t="shared" si="8"/>
        <v/>
      </c>
      <c r="M95" s="2" t="str">
        <f t="shared" si="9"/>
        <v/>
      </c>
      <c r="N95" s="2" t="str">
        <f t="shared" si="10"/>
        <v>ADEF#G</v>
      </c>
      <c r="O95" s="2" t="str">
        <f ca="1">IF(M95="Merged", "", IF(AND(ISNA(VLOOKUP(N95, Chords!K$2:K$169, 0, FALSE)), ISNA(VLOOKUP(N95, Chords!O$2:O$169, 0, FALSE))), "", "Yes"))</f>
        <v/>
      </c>
      <c r="P95" s="2" t="str">
        <f t="shared" ca="1" si="11"/>
        <v/>
      </c>
    </row>
    <row r="96" spans="1:16">
      <c r="A96" s="1">
        <v>95</v>
      </c>
      <c r="B96" s="1">
        <v>95</v>
      </c>
      <c r="C96" s="1">
        <v>102</v>
      </c>
      <c r="D96" s="1" t="s">
        <v>8</v>
      </c>
      <c r="E96" s="1" t="s">
        <v>0</v>
      </c>
      <c r="F96" s="1" t="s">
        <v>27</v>
      </c>
      <c r="G96" s="1" t="s">
        <v>45</v>
      </c>
      <c r="H96" s="1" t="str">
        <f>GetSortedUniquePitchClasses(GetPitchClasses(CONCATENATE(D96, E96, F96, G96)))</f>
        <v>ABDG</v>
      </c>
      <c r="I96" s="1" t="str">
        <f ca="1">IF(AND(ISNA(VLOOKUP(H96, Chords!K$2:K$169, 0, FALSE)), ISNA(VLOOKUP(H96, Chords!O$2:O$169, 0, FALSE))), "", "Yes")</f>
        <v/>
      </c>
      <c r="J96" s="1" t="str">
        <f t="shared" ca="1" si="6"/>
        <v>Yes</v>
      </c>
      <c r="K96" s="1" t="str">
        <f t="shared" si="7"/>
        <v/>
      </c>
      <c r="L96" s="1" t="str">
        <f t="shared" si="8"/>
        <v/>
      </c>
      <c r="M96" s="1" t="str">
        <f t="shared" si="9"/>
        <v/>
      </c>
      <c r="N96" s="1" t="str">
        <f t="shared" si="10"/>
        <v>ABDG</v>
      </c>
      <c r="O96" s="1" t="str">
        <f ca="1">IF(M96="Merged", "", IF(AND(ISNA(VLOOKUP(N96, Chords!K$2:K$169, 0, FALSE)), ISNA(VLOOKUP(N96, Chords!O$2:O$169, 0, FALSE))), "", "Yes"))</f>
        <v/>
      </c>
      <c r="P96" s="1" t="str">
        <f t="shared" ca="1" si="11"/>
        <v/>
      </c>
    </row>
    <row r="97" spans="1:16">
      <c r="A97" s="1">
        <v>96</v>
      </c>
      <c r="B97" s="1">
        <v>95</v>
      </c>
      <c r="C97" s="1">
        <v>102</v>
      </c>
      <c r="D97" s="1" t="s">
        <v>9</v>
      </c>
      <c r="E97" s="1" t="s">
        <v>0</v>
      </c>
      <c r="F97" s="1" t="s">
        <v>27</v>
      </c>
      <c r="G97" s="1" t="s">
        <v>45</v>
      </c>
      <c r="H97" s="1" t="str">
        <f>GetSortedUniquePitchClasses(GetPitchClasses(CONCATENATE(D97, E97, F97, G97)))</f>
        <v>BDG</v>
      </c>
      <c r="I97" s="1" t="str">
        <f ca="1">IF(AND(ISNA(VLOOKUP(H97, Chords!K$2:K$169, 0, FALSE)), ISNA(VLOOKUP(H97, Chords!O$2:O$169, 0, FALSE))), "", "Yes")</f>
        <v>Yes</v>
      </c>
      <c r="J97" s="1" t="str">
        <f t="shared" ca="1" si="6"/>
        <v/>
      </c>
      <c r="K97" s="1" t="str">
        <f t="shared" si="7"/>
        <v/>
      </c>
      <c r="L97" s="1" t="str">
        <f t="shared" si="8"/>
        <v/>
      </c>
      <c r="M97" s="1" t="str">
        <f t="shared" si="9"/>
        <v/>
      </c>
      <c r="N97" s="1" t="str">
        <f t="shared" si="10"/>
        <v>ABDF#G</v>
      </c>
      <c r="O97" s="1" t="str">
        <f ca="1">IF(M97="Merged", "", IF(AND(ISNA(VLOOKUP(N97, Chords!K$2:K$169, 0, FALSE)), ISNA(VLOOKUP(N97, Chords!O$2:O$169, 0, FALSE))), "", "Yes"))</f>
        <v/>
      </c>
      <c r="P97" s="1" t="str">
        <f t="shared" ca="1" si="11"/>
        <v/>
      </c>
    </row>
    <row r="98" spans="1:16">
      <c r="A98" s="1">
        <v>97</v>
      </c>
      <c r="B98" s="1">
        <v>95</v>
      </c>
      <c r="C98" s="1">
        <v>102</v>
      </c>
      <c r="D98" s="1" t="s">
        <v>14</v>
      </c>
      <c r="E98" s="1" t="s">
        <v>0</v>
      </c>
      <c r="F98" s="1" t="s">
        <v>33</v>
      </c>
      <c r="G98" s="1" t="s">
        <v>48</v>
      </c>
      <c r="H98" s="1" t="str">
        <f>GetSortedUniquePitchClasses(GetPitchClasses(CONCATENATE(D98, E98, F98, G98)))</f>
        <v>DF#</v>
      </c>
      <c r="I98" s="1" t="str">
        <f ca="1">IF(AND(ISNA(VLOOKUP(H98, Chords!K$2:K$169, 0, FALSE)), ISNA(VLOOKUP(H98, Chords!O$2:O$169, 0, FALSE))), "", "Yes")</f>
        <v/>
      </c>
      <c r="J98" s="1" t="str">
        <f t="shared" ca="1" si="6"/>
        <v/>
      </c>
      <c r="K98" s="1" t="str">
        <f t="shared" si="7"/>
        <v>Yes</v>
      </c>
      <c r="L98" s="1" t="str">
        <f t="shared" si="8"/>
        <v/>
      </c>
      <c r="M98" s="1" t="str">
        <f t="shared" si="9"/>
        <v/>
      </c>
      <c r="N98" s="1" t="str">
        <f t="shared" si="10"/>
        <v>BDF#G</v>
      </c>
      <c r="O98" s="1" t="str">
        <f ca="1">IF(M98="Merged", "", IF(AND(ISNA(VLOOKUP(N98, Chords!K$2:K$169, 0, FALSE)), ISNA(VLOOKUP(N98, Chords!O$2:O$169, 0, FALSE))), "", "Yes"))</f>
        <v/>
      </c>
      <c r="P98" s="1" t="str">
        <f t="shared" ca="1" si="11"/>
        <v/>
      </c>
    </row>
    <row r="99" spans="1:16">
      <c r="A99" s="1">
        <v>98</v>
      </c>
      <c r="B99" s="1">
        <v>95</v>
      </c>
      <c r="C99" s="1">
        <v>102</v>
      </c>
      <c r="D99" s="1" t="s">
        <v>9</v>
      </c>
      <c r="E99" s="1" t="s">
        <v>0</v>
      </c>
      <c r="F99" s="1" t="s">
        <v>33</v>
      </c>
      <c r="G99" s="1" t="s">
        <v>48</v>
      </c>
      <c r="H99" s="1" t="str">
        <f>GetSortedUniquePitchClasses(GetPitchClasses(CONCATENATE(D99, E99, F99, G99)))</f>
        <v>DG</v>
      </c>
      <c r="I99" s="1" t="str">
        <f ca="1">IF(AND(ISNA(VLOOKUP(H99, Chords!K$2:K$169, 0, FALSE)), ISNA(VLOOKUP(H99, Chords!O$2:O$169, 0, FALSE))), "", "Yes")</f>
        <v/>
      </c>
      <c r="J99" s="1" t="str">
        <f t="shared" ca="1" si="6"/>
        <v/>
      </c>
      <c r="K99" s="1" t="str">
        <f t="shared" si="7"/>
        <v>Yes</v>
      </c>
      <c r="L99" s="1" t="str">
        <f t="shared" si="8"/>
        <v/>
      </c>
      <c r="M99" s="1" t="str">
        <f t="shared" si="9"/>
        <v/>
      </c>
      <c r="N99" s="1" t="str">
        <f t="shared" si="10"/>
        <v>ADF#G</v>
      </c>
      <c r="O99" s="1" t="str">
        <f ca="1">IF(M99="Merged", "", IF(AND(ISNA(VLOOKUP(N99, Chords!K$2:K$169, 0, FALSE)), ISNA(VLOOKUP(N99, Chords!O$2:O$169, 0, FALSE))), "", "Yes"))</f>
        <v/>
      </c>
      <c r="P99" s="1" t="str">
        <f t="shared" ca="1" si="11"/>
        <v/>
      </c>
    </row>
    <row r="100" spans="1:16">
      <c r="A100" s="1">
        <v>99</v>
      </c>
      <c r="B100" s="1">
        <v>95</v>
      </c>
      <c r="C100" s="1">
        <v>102</v>
      </c>
      <c r="D100" s="1" t="s">
        <v>8</v>
      </c>
      <c r="F100" s="1" t="s">
        <v>38</v>
      </c>
      <c r="G100" s="1" t="s">
        <v>46</v>
      </c>
      <c r="H100" s="1" t="str">
        <f>GetSortedUniquePitchClasses(GetPitchClasses(CONCATENATE(D100, E100, F100, G100)))</f>
        <v>AF#</v>
      </c>
      <c r="I100" s="1" t="str">
        <f ca="1">IF(AND(ISNA(VLOOKUP(H100, Chords!K$2:K$169, 0, FALSE)), ISNA(VLOOKUP(H100, Chords!O$2:O$169, 0, FALSE))), "", "Yes")</f>
        <v/>
      </c>
      <c r="J100" s="1" t="str">
        <f t="shared" ca="1" si="6"/>
        <v/>
      </c>
      <c r="K100" s="1" t="str">
        <f t="shared" si="7"/>
        <v>Yes</v>
      </c>
      <c r="L100" s="1" t="str">
        <f t="shared" si="8"/>
        <v/>
      </c>
      <c r="M100" s="1" t="str">
        <f t="shared" si="9"/>
        <v/>
      </c>
      <c r="N100" s="1" t="str">
        <f t="shared" si="10"/>
        <v>ADF#G</v>
      </c>
      <c r="O100" s="1" t="str">
        <f ca="1">IF(M100="Merged", "", IF(AND(ISNA(VLOOKUP(N100, Chords!K$2:K$169, 0, FALSE)), ISNA(VLOOKUP(N100, Chords!O$2:O$169, 0, FALSE))), "", "Yes"))</f>
        <v/>
      </c>
      <c r="P100" s="1" t="str">
        <f t="shared" ca="1" si="11"/>
        <v/>
      </c>
    </row>
    <row r="101" spans="1:16">
      <c r="A101" s="1">
        <v>100</v>
      </c>
      <c r="B101" s="1">
        <v>95</v>
      </c>
      <c r="C101" s="1">
        <v>102</v>
      </c>
      <c r="D101" s="1" t="s">
        <v>9</v>
      </c>
      <c r="F101" s="1" t="s">
        <v>38</v>
      </c>
      <c r="G101" s="1" t="s">
        <v>46</v>
      </c>
      <c r="H101" s="1" t="str">
        <f>GetSortedUniquePitchClasses(GetPitchClasses(CONCATENATE(D101, E101, F101, G101)))</f>
        <v>AF#G</v>
      </c>
      <c r="I101" s="1" t="str">
        <f ca="1">IF(AND(ISNA(VLOOKUP(H101, Chords!K$2:K$169, 0, FALSE)), ISNA(VLOOKUP(H101, Chords!O$2:O$169, 0, FALSE))), "", "Yes")</f>
        <v/>
      </c>
      <c r="J101" s="1" t="str">
        <f t="shared" ca="1" si="6"/>
        <v>Yes</v>
      </c>
      <c r="K101" s="1" t="str">
        <f t="shared" si="7"/>
        <v/>
      </c>
      <c r="L101" s="1" t="str">
        <f t="shared" si="8"/>
        <v/>
      </c>
      <c r="M101" s="1" t="str">
        <f t="shared" si="9"/>
        <v/>
      </c>
      <c r="N101" s="1" t="str">
        <f t="shared" si="10"/>
        <v>ABF#G</v>
      </c>
      <c r="O101" s="1" t="str">
        <f ca="1">IF(M101="Merged", "", IF(AND(ISNA(VLOOKUP(N101, Chords!K$2:K$169, 0, FALSE)), ISNA(VLOOKUP(N101, Chords!O$2:O$169, 0, FALSE))), "", "Yes"))</f>
        <v/>
      </c>
      <c r="P101" s="1" t="str">
        <f t="shared" ca="1" si="11"/>
        <v/>
      </c>
    </row>
    <row r="102" spans="1:16">
      <c r="A102" s="1">
        <v>101</v>
      </c>
      <c r="B102" s="1">
        <v>95</v>
      </c>
      <c r="C102" s="1">
        <v>102</v>
      </c>
      <c r="D102" s="1" t="s">
        <v>14</v>
      </c>
      <c r="F102" s="1" t="s">
        <v>27</v>
      </c>
      <c r="G102" s="1" t="s">
        <v>45</v>
      </c>
      <c r="H102" s="1" t="str">
        <f>GetSortedUniquePitchClasses(GetPitchClasses(CONCATENATE(D102, E102, F102, G102)))</f>
        <v>BF#G</v>
      </c>
      <c r="I102" s="1" t="str">
        <f ca="1">IF(AND(ISNA(VLOOKUP(H102, Chords!K$2:K$169, 0, FALSE)), ISNA(VLOOKUP(H102, Chords!O$2:O$169, 0, FALSE))), "", "Yes")</f>
        <v/>
      </c>
      <c r="J102" s="1" t="str">
        <f t="shared" ca="1" si="6"/>
        <v>Yes</v>
      </c>
      <c r="K102" s="1" t="str">
        <f t="shared" si="7"/>
        <v/>
      </c>
      <c r="L102" s="1" t="str">
        <f t="shared" si="8"/>
        <v/>
      </c>
      <c r="M102" s="1" t="str">
        <f t="shared" si="9"/>
        <v/>
      </c>
      <c r="N102" s="1" t="str">
        <f t="shared" si="10"/>
        <v>ABEF#G</v>
      </c>
      <c r="O102" s="1" t="str">
        <f ca="1">IF(M102="Merged", "", IF(AND(ISNA(VLOOKUP(N102, Chords!K$2:K$169, 0, FALSE)), ISNA(VLOOKUP(N102, Chords!O$2:O$169, 0, FALSE))), "", "Yes"))</f>
        <v/>
      </c>
      <c r="P102" s="1" t="str">
        <f t="shared" ca="1" si="11"/>
        <v/>
      </c>
    </row>
    <row r="103" spans="1:16" s="2" customFormat="1" ht="17.25" thickBot="1">
      <c r="A103" s="2">
        <v>102</v>
      </c>
      <c r="B103" s="2">
        <v>95</v>
      </c>
      <c r="C103" s="2">
        <v>102</v>
      </c>
      <c r="D103" s="2" t="s">
        <v>7</v>
      </c>
      <c r="F103" s="2" t="s">
        <v>27</v>
      </c>
      <c r="G103" s="2" t="s">
        <v>45</v>
      </c>
      <c r="H103" s="2" t="str">
        <f>GetSortedUniquePitchClasses(GetPitchClasses(CONCATENATE(D103, E103, F103, G103)))</f>
        <v>BEG</v>
      </c>
      <c r="I103" s="2" t="str">
        <f ca="1">IF(AND(ISNA(VLOOKUP(H103, Chords!K$2:K$169, 0, FALSE)), ISNA(VLOOKUP(H103, Chords!O$2:O$169, 0, FALSE))), "", "Yes")</f>
        <v>Yes</v>
      </c>
      <c r="J103" s="2" t="str">
        <f t="shared" ca="1" si="6"/>
        <v/>
      </c>
      <c r="K103" s="2" t="str">
        <f t="shared" si="7"/>
        <v/>
      </c>
      <c r="L103" s="2" t="str">
        <f t="shared" si="8"/>
        <v/>
      </c>
      <c r="M103" s="2" t="str">
        <f t="shared" si="9"/>
        <v/>
      </c>
      <c r="N103" s="2" t="str">
        <f t="shared" si="10"/>
        <v>BEF#G</v>
      </c>
      <c r="O103" s="2" t="str">
        <f ca="1">IF(M103="Merged", "", IF(AND(ISNA(VLOOKUP(N103, Chords!K$2:K$169, 0, FALSE)), ISNA(VLOOKUP(N103, Chords!O$2:O$169, 0, FALSE))), "", "Yes"))</f>
        <v/>
      </c>
      <c r="P103" s="2" t="str">
        <f t="shared" ca="1" si="11"/>
        <v/>
      </c>
    </row>
    <row r="104" spans="1:16">
      <c r="A104" s="1">
        <v>103</v>
      </c>
      <c r="B104" s="1">
        <v>103</v>
      </c>
      <c r="C104" s="1">
        <v>106</v>
      </c>
      <c r="D104" s="1" t="s">
        <v>5</v>
      </c>
      <c r="F104" s="1" t="s">
        <v>28</v>
      </c>
      <c r="G104" s="1" t="s">
        <v>44</v>
      </c>
      <c r="H104" s="1" t="str">
        <f>GetSortedUniquePitchClasses(GetPitchClasses(CONCATENATE(D104, E104, F104, G104)))</f>
        <v>ACD</v>
      </c>
      <c r="I104" s="1" t="str">
        <f ca="1">IF(AND(ISNA(VLOOKUP(H104, Chords!K$2:K$169, 0, FALSE)), ISNA(VLOOKUP(H104, Chords!O$2:O$169, 0, FALSE))), "", "Yes")</f>
        <v/>
      </c>
      <c r="J104" s="1" t="str">
        <f t="shared" ca="1" si="6"/>
        <v>Yes</v>
      </c>
      <c r="K104" s="1" t="str">
        <f t="shared" si="7"/>
        <v/>
      </c>
      <c r="L104" s="1" t="str">
        <f t="shared" si="8"/>
        <v/>
      </c>
      <c r="M104" s="1" t="str">
        <f t="shared" si="9"/>
        <v/>
      </c>
      <c r="N104" s="1" t="str">
        <f t="shared" si="10"/>
        <v>ACD</v>
      </c>
      <c r="O104" s="1" t="str">
        <f ca="1">IF(M104="Merged", "", IF(AND(ISNA(VLOOKUP(N104, Chords!K$2:K$169, 0, FALSE)), ISNA(VLOOKUP(N104, Chords!O$2:O$169, 0, FALSE))), "", "Yes"))</f>
        <v/>
      </c>
      <c r="P104" s="1" t="str">
        <f t="shared" ca="1" si="11"/>
        <v/>
      </c>
    </row>
    <row r="105" spans="1:16">
      <c r="A105" s="1">
        <v>104</v>
      </c>
      <c r="B105" s="1">
        <v>103</v>
      </c>
      <c r="C105" s="1">
        <v>106</v>
      </c>
      <c r="D105" s="1" t="s">
        <v>5</v>
      </c>
      <c r="E105" s="1" t="s">
        <v>0</v>
      </c>
      <c r="F105" s="1" t="s">
        <v>33</v>
      </c>
      <c r="G105" s="1" t="s">
        <v>48</v>
      </c>
      <c r="H105" s="1" t="str">
        <f>GetSortedUniquePitchClasses(GetPitchClasses(CONCATENATE(D105, E105, F105, G105)))</f>
        <v>D</v>
      </c>
      <c r="I105" s="1" t="str">
        <f ca="1">IF(AND(ISNA(VLOOKUP(H105, Chords!K$2:K$169, 0, FALSE)), ISNA(VLOOKUP(H105, Chords!O$2:O$169, 0, FALSE))), "", "Yes")</f>
        <v/>
      </c>
      <c r="J105" s="1" t="str">
        <f t="shared" ca="1" si="6"/>
        <v/>
      </c>
      <c r="K105" s="1" t="str">
        <f t="shared" si="7"/>
        <v/>
      </c>
      <c r="L105" s="1" t="str">
        <f t="shared" si="8"/>
        <v>Yes</v>
      </c>
      <c r="M105" s="1" t="str">
        <f t="shared" si="9"/>
        <v/>
      </c>
      <c r="N105" s="1" t="str">
        <f t="shared" si="10"/>
        <v>ABCDG#</v>
      </c>
      <c r="O105" s="1" t="str">
        <f ca="1">IF(M105="Merged", "", IF(AND(ISNA(VLOOKUP(N105, Chords!K$2:K$169, 0, FALSE)), ISNA(VLOOKUP(N105, Chords!O$2:O$169, 0, FALSE))), "", "Yes"))</f>
        <v/>
      </c>
      <c r="P105" s="1" t="str">
        <f t="shared" ca="1" si="11"/>
        <v/>
      </c>
    </row>
    <row r="106" spans="1:16">
      <c r="A106" s="1">
        <v>105</v>
      </c>
      <c r="B106" s="1">
        <v>103</v>
      </c>
      <c r="C106" s="1">
        <v>106</v>
      </c>
      <c r="D106" s="1" t="s">
        <v>5</v>
      </c>
      <c r="E106" s="1" t="s">
        <v>0</v>
      </c>
      <c r="F106" s="1" t="s">
        <v>27</v>
      </c>
      <c r="G106" s="1" t="s">
        <v>113</v>
      </c>
      <c r="H106" s="1" t="str">
        <f>GetSortedUniquePitchClasses(GetPitchClasses(CONCATENATE(D106, E106, F106, G106)))</f>
        <v>BDG#</v>
      </c>
      <c r="I106" s="1" t="str">
        <f ca="1">IF(AND(ISNA(VLOOKUP(H106, Chords!K$2:K$169, 0, FALSE)), ISNA(VLOOKUP(H106, Chords!O$2:O$169, 0, FALSE))), "", "Yes")</f>
        <v>Yes</v>
      </c>
      <c r="J106" s="1" t="str">
        <f t="shared" ca="1" si="6"/>
        <v/>
      </c>
      <c r="K106" s="1" t="str">
        <f t="shared" si="7"/>
        <v/>
      </c>
      <c r="L106" s="1" t="str">
        <f t="shared" si="8"/>
        <v/>
      </c>
      <c r="M106" s="1" t="str">
        <f t="shared" si="9"/>
        <v/>
      </c>
      <c r="N106" s="1" t="str">
        <f t="shared" si="10"/>
        <v>ABCDG#</v>
      </c>
      <c r="O106" s="1" t="str">
        <f ca="1">IF(M106="Merged", "", IF(AND(ISNA(VLOOKUP(N106, Chords!K$2:K$169, 0, FALSE)), ISNA(VLOOKUP(N106, Chords!O$2:O$169, 0, FALSE))), "", "Yes"))</f>
        <v/>
      </c>
      <c r="P106" s="1" t="str">
        <f t="shared" ca="1" si="11"/>
        <v/>
      </c>
    </row>
    <row r="107" spans="1:16" s="2" customFormat="1" ht="17.25" thickBot="1">
      <c r="A107" s="2">
        <v>106</v>
      </c>
      <c r="B107" s="2">
        <v>103</v>
      </c>
      <c r="C107" s="2">
        <v>106</v>
      </c>
      <c r="D107" s="2" t="s">
        <v>5</v>
      </c>
      <c r="E107" s="2" t="s">
        <v>0</v>
      </c>
      <c r="F107" s="2" t="s">
        <v>28</v>
      </c>
      <c r="G107" s="2" t="s">
        <v>44</v>
      </c>
      <c r="H107" s="2" t="str">
        <f>GetSortedUniquePitchClasses(GetPitchClasses(CONCATENATE(D107, E107, F107, G107)))</f>
        <v>ACD</v>
      </c>
      <c r="I107" s="2" t="str">
        <f ca="1">IF(AND(ISNA(VLOOKUP(H107, Chords!K$2:K$169, 0, FALSE)), ISNA(VLOOKUP(H107, Chords!O$2:O$169, 0, FALSE))), "", "Yes")</f>
        <v/>
      </c>
      <c r="J107" s="2" t="str">
        <f t="shared" ca="1" si="6"/>
        <v>Yes</v>
      </c>
      <c r="K107" s="2" t="str">
        <f t="shared" si="7"/>
        <v/>
      </c>
      <c r="L107" s="2" t="str">
        <f t="shared" si="8"/>
        <v/>
      </c>
      <c r="M107" s="2" t="str">
        <f t="shared" si="9"/>
        <v/>
      </c>
      <c r="N107" s="2" t="str">
        <f t="shared" si="10"/>
        <v>ABCDG#</v>
      </c>
      <c r="O107" s="2" t="str">
        <f ca="1">IF(M107="Merged", "", IF(AND(ISNA(VLOOKUP(N107, Chords!K$2:K$169, 0, FALSE)), ISNA(VLOOKUP(N107, Chords!O$2:O$169, 0, FALSE))), "", "Yes"))</f>
        <v/>
      </c>
      <c r="P107" s="2" t="str">
        <f t="shared" ca="1" si="11"/>
        <v/>
      </c>
    </row>
  </sheetData>
  <phoneticPr fontId="1" type="noConversion"/>
  <conditionalFormatting sqref="A1:A1048576">
    <cfRule type="cellIs" dxfId="8" priority="10" operator="notEqual">
      <formula>""</formula>
    </cfRule>
  </conditionalFormatting>
  <conditionalFormatting sqref="B1:C1048576">
    <cfRule type="cellIs" dxfId="7" priority="9" operator="notEqual">
      <formula>""</formula>
    </cfRule>
  </conditionalFormatting>
  <conditionalFormatting sqref="D1:G1048576">
    <cfRule type="cellIs" dxfId="6" priority="8" operator="notEqual">
      <formula>""</formula>
    </cfRule>
  </conditionalFormatting>
  <conditionalFormatting sqref="H1:H1048576">
    <cfRule type="cellIs" dxfId="5" priority="7" operator="notEqual">
      <formula>""</formula>
    </cfRule>
  </conditionalFormatting>
  <conditionalFormatting sqref="I1:I1048576">
    <cfRule type="cellIs" dxfId="4" priority="6" operator="notEqual">
      <formula>""</formula>
    </cfRule>
  </conditionalFormatting>
  <conditionalFormatting sqref="M1:M1048576">
    <cfRule type="cellIs" dxfId="3" priority="4" operator="notEqual">
      <formula>""</formula>
    </cfRule>
  </conditionalFormatting>
  <conditionalFormatting sqref="N1:N1048576">
    <cfRule type="cellIs" dxfId="2" priority="3" operator="notEqual">
      <formula>""</formula>
    </cfRule>
  </conditionalFormatting>
  <conditionalFormatting sqref="O1:O1048576">
    <cfRule type="cellIs" dxfId="1" priority="2" operator="notEqual">
      <formula>""</formula>
    </cfRule>
  </conditionalFormatting>
  <conditionalFormatting sqref="P1:P1048576">
    <cfRule type="cellIs" dxfId="0" priority="1" operator="not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O169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7.7109375" style="1" bestFit="1" customWidth="1"/>
    <col min="2" max="2" width="7.7109375" style="1" customWidth="1"/>
    <col min="3" max="3" width="13.140625" style="1" bestFit="1" customWidth="1"/>
    <col min="4" max="4" width="7.42578125" style="1" bestFit="1" customWidth="1"/>
    <col min="5" max="7" width="9.140625" style="1" bestFit="1" customWidth="1"/>
    <col min="8" max="15" width="13.7109375" style="1" customWidth="1"/>
    <col min="16" max="17" width="4.7109375" style="1" customWidth="1"/>
    <col min="18" max="16384" width="9.140625" style="1"/>
  </cols>
  <sheetData>
    <row r="1" spans="1:15" ht="33">
      <c r="A1" s="1" t="s">
        <v>51</v>
      </c>
      <c r="B1" s="1" t="s">
        <v>69</v>
      </c>
      <c r="C1" s="1" t="s">
        <v>52</v>
      </c>
      <c r="D1" s="1" t="s">
        <v>68</v>
      </c>
      <c r="E1" s="1" t="s">
        <v>74</v>
      </c>
      <c r="F1" s="1" t="s">
        <v>75</v>
      </c>
      <c r="G1" s="1" t="s">
        <v>76</v>
      </c>
      <c r="H1" s="3" t="s">
        <v>85</v>
      </c>
      <c r="I1" s="3" t="s">
        <v>88</v>
      </c>
      <c r="J1" s="3" t="s">
        <v>89</v>
      </c>
      <c r="K1" s="3" t="s">
        <v>86</v>
      </c>
      <c r="L1" s="3" t="s">
        <v>90</v>
      </c>
      <c r="M1" s="3" t="s">
        <v>91</v>
      </c>
      <c r="N1" s="3" t="s">
        <v>92</v>
      </c>
      <c r="O1" s="3" t="s">
        <v>87</v>
      </c>
    </row>
    <row r="2" spans="1:15">
      <c r="A2" s="1" t="s">
        <v>53</v>
      </c>
      <c r="B2" s="1">
        <v>1</v>
      </c>
      <c r="C2" s="1" t="s">
        <v>67</v>
      </c>
      <c r="D2" s="1">
        <v>1</v>
      </c>
      <c r="E2" s="1">
        <f t="shared" ref="E2:E33" ca="1" si="0">INDIRECT("'Scales'!$B" &amp; IF($D2 &lt;=7, $D2+1, $D2-6))</f>
        <v>0</v>
      </c>
      <c r="F2" s="1">
        <f t="shared" ref="F2:F33" ca="1" si="1">INDIRECT("'Scales'!$B" &amp; IF($D2 &lt;=5, $D2+3, $D2-4))</f>
        <v>4</v>
      </c>
      <c r="G2" s="1">
        <f t="shared" ref="G2:G33" ca="1" si="2">INDIRECT("'Scales'!$B" &amp; IF($D2 &lt;=3, $D2+5, $D2-2))</f>
        <v>7</v>
      </c>
      <c r="H2" s="1" t="str">
        <f ca="1">INDIRECT("'Pitch classes'!B"&amp;IF($B2+E2&lt;=12,$B2+E2,$B2+E2-12)+1)</f>
        <v>C</v>
      </c>
      <c r="I2" s="1" t="str">
        <f t="shared" ref="I2:I15" ca="1" si="3">INDIRECT("'Pitch classes'!B"&amp;IF($B2+F2&lt;=12,$B2+F2,$B2+F2-12)+1)</f>
        <v>E</v>
      </c>
      <c r="J2" s="1" t="str">
        <f t="shared" ref="J2:J15" ca="1" si="4">INDIRECT("'Pitch classes'!B"&amp;IF($B2+G2&lt;=12,$B2+G2,$B2+G2-12)+1)</f>
        <v>G</v>
      </c>
      <c r="K2" s="1" t="str">
        <f ca="1">GetSortedUniquePitchClasses(CONCATENATE(H2, I2, J2))</f>
        <v>CEG</v>
      </c>
      <c r="L2" s="1" t="str">
        <f ca="1">INDIRECT("'Pitch classes'!C"&amp;IF($B2+E2&lt;=12,$B2+E2,$B2+E2-12)+1)</f>
        <v>C</v>
      </c>
      <c r="M2" s="1" t="str">
        <f ca="1">INDIRECT("'Pitch classes'!C"&amp;IF($B2+F2&lt;=12,$B2+F2,$B2+F2-12)+1)</f>
        <v>E</v>
      </c>
      <c r="N2" s="1" t="str">
        <f ca="1">INDIRECT("'Pitch classes'!C"&amp;IF($B2+G2&lt;=12,$B2+G2,$B2+G2-12)+1)</f>
        <v>G</v>
      </c>
      <c r="O2" s="1" t="str">
        <f ca="1">GetSortedUniquePitchClasses(CONCATENATE(L2, M2, N2))</f>
        <v>CEG</v>
      </c>
    </row>
    <row r="3" spans="1:15">
      <c r="A3" s="1" t="s">
        <v>53</v>
      </c>
      <c r="B3" s="1">
        <v>1</v>
      </c>
      <c r="C3" s="1" t="s">
        <v>67</v>
      </c>
      <c r="D3" s="1">
        <v>2</v>
      </c>
      <c r="E3" s="1">
        <f t="shared" ca="1" si="0"/>
        <v>2</v>
      </c>
      <c r="F3" s="1">
        <f t="shared" ca="1" si="1"/>
        <v>5</v>
      </c>
      <c r="G3" s="1">
        <f t="shared" ca="1" si="2"/>
        <v>9</v>
      </c>
      <c r="H3" s="1" t="str">
        <f t="shared" ref="H3:H16" ca="1" si="5">INDIRECT("'Pitch classes'!B"&amp;IF($B3+E3&lt;=12,$B3+E3,$B3+E3-12)+1)</f>
        <v>D</v>
      </c>
      <c r="I3" s="1" t="str">
        <f t="shared" ca="1" si="3"/>
        <v>F</v>
      </c>
      <c r="J3" s="1" t="str">
        <f t="shared" ca="1" si="4"/>
        <v>A</v>
      </c>
      <c r="K3" s="1" t="str">
        <f t="shared" ref="K3:K16" ca="1" si="6">GetSortedUniquePitchClasses(CONCATENATE(H3, I3, J3))</f>
        <v>ADF</v>
      </c>
      <c r="L3" s="1" t="str">
        <f t="shared" ref="L3:L16" ca="1" si="7">INDIRECT("'Pitch classes'!C"&amp;IF($B3+E3&lt;=12,$B3+E3,$B3+E3-12)+1)</f>
        <v>D</v>
      </c>
      <c r="M3" s="1" t="str">
        <f t="shared" ref="M3:M16" ca="1" si="8">INDIRECT("'Pitch classes'!C"&amp;IF($B3+F3&lt;=12,$B3+F3,$B3+F3-12)+1)</f>
        <v>F</v>
      </c>
      <c r="N3" s="1" t="str">
        <f t="shared" ref="N3:N16" ca="1" si="9">INDIRECT("'Pitch classes'!C"&amp;IF($B3+G3&lt;=12,$B3+G3,$B3+G3-12)+1)</f>
        <v>A</v>
      </c>
      <c r="O3" s="1" t="str">
        <f t="shared" ref="O3:O16" ca="1" si="10">GetSortedUniquePitchClasses(CONCATENATE(L3, M3, N3))</f>
        <v>ADF</v>
      </c>
    </row>
    <row r="4" spans="1:15">
      <c r="A4" s="1" t="s">
        <v>53</v>
      </c>
      <c r="B4" s="1">
        <v>1</v>
      </c>
      <c r="C4" s="1" t="s">
        <v>67</v>
      </c>
      <c r="D4" s="1">
        <v>3</v>
      </c>
      <c r="E4" s="1">
        <f t="shared" ca="1" si="0"/>
        <v>4</v>
      </c>
      <c r="F4" s="1">
        <f t="shared" ca="1" si="1"/>
        <v>7</v>
      </c>
      <c r="G4" s="1">
        <f t="shared" ca="1" si="2"/>
        <v>11</v>
      </c>
      <c r="H4" s="1" t="str">
        <f t="shared" ca="1" si="5"/>
        <v>E</v>
      </c>
      <c r="I4" s="1" t="str">
        <f t="shared" ca="1" si="3"/>
        <v>G</v>
      </c>
      <c r="J4" s="1" t="str">
        <f t="shared" ca="1" si="4"/>
        <v>B</v>
      </c>
      <c r="K4" s="1" t="str">
        <f t="shared" ca="1" si="6"/>
        <v>BEG</v>
      </c>
      <c r="L4" s="1" t="str">
        <f t="shared" ca="1" si="7"/>
        <v>E</v>
      </c>
      <c r="M4" s="1" t="str">
        <f t="shared" ca="1" si="8"/>
        <v>G</v>
      </c>
      <c r="N4" s="1" t="str">
        <f t="shared" ca="1" si="9"/>
        <v>B</v>
      </c>
      <c r="O4" s="1" t="str">
        <f t="shared" ca="1" si="10"/>
        <v>BEG</v>
      </c>
    </row>
    <row r="5" spans="1:15">
      <c r="A5" s="1" t="s">
        <v>53</v>
      </c>
      <c r="B5" s="1">
        <v>1</v>
      </c>
      <c r="C5" s="1" t="s">
        <v>67</v>
      </c>
      <c r="D5" s="1">
        <v>4</v>
      </c>
      <c r="E5" s="1">
        <f t="shared" ca="1" si="0"/>
        <v>5</v>
      </c>
      <c r="F5" s="1">
        <f t="shared" ca="1" si="1"/>
        <v>9</v>
      </c>
      <c r="G5" s="1">
        <f t="shared" ca="1" si="2"/>
        <v>0</v>
      </c>
      <c r="H5" s="1" t="str">
        <f t="shared" ca="1" si="5"/>
        <v>F</v>
      </c>
      <c r="I5" s="1" t="str">
        <f t="shared" ca="1" si="3"/>
        <v>A</v>
      </c>
      <c r="J5" s="1" t="str">
        <f t="shared" ca="1" si="4"/>
        <v>C</v>
      </c>
      <c r="K5" s="1" t="str">
        <f t="shared" ca="1" si="6"/>
        <v>ACF</v>
      </c>
      <c r="L5" s="1" t="str">
        <f t="shared" ca="1" si="7"/>
        <v>F</v>
      </c>
      <c r="M5" s="1" t="str">
        <f t="shared" ca="1" si="8"/>
        <v>A</v>
      </c>
      <c r="N5" s="1" t="str">
        <f t="shared" ca="1" si="9"/>
        <v>C</v>
      </c>
      <c r="O5" s="1" t="str">
        <f t="shared" ca="1" si="10"/>
        <v>ACF</v>
      </c>
    </row>
    <row r="6" spans="1:15">
      <c r="A6" s="1" t="s">
        <v>53</v>
      </c>
      <c r="B6" s="1">
        <v>1</v>
      </c>
      <c r="C6" s="1" t="s">
        <v>67</v>
      </c>
      <c r="D6" s="1">
        <v>5</v>
      </c>
      <c r="E6" s="1">
        <f t="shared" ca="1" si="0"/>
        <v>7</v>
      </c>
      <c r="F6" s="1">
        <f t="shared" ca="1" si="1"/>
        <v>11</v>
      </c>
      <c r="G6" s="1">
        <f t="shared" ca="1" si="2"/>
        <v>2</v>
      </c>
      <c r="H6" s="1" t="str">
        <f t="shared" ca="1" si="5"/>
        <v>G</v>
      </c>
      <c r="I6" s="1" t="str">
        <f t="shared" ca="1" si="3"/>
        <v>B</v>
      </c>
      <c r="J6" s="1" t="str">
        <f t="shared" ca="1" si="4"/>
        <v>D</v>
      </c>
      <c r="K6" s="1" t="str">
        <f t="shared" ca="1" si="6"/>
        <v>BDG</v>
      </c>
      <c r="L6" s="1" t="str">
        <f t="shared" ca="1" si="7"/>
        <v>G</v>
      </c>
      <c r="M6" s="1" t="str">
        <f t="shared" ca="1" si="8"/>
        <v>B</v>
      </c>
      <c r="N6" s="1" t="str">
        <f t="shared" ca="1" si="9"/>
        <v>D</v>
      </c>
      <c r="O6" s="1" t="str">
        <f t="shared" ca="1" si="10"/>
        <v>BDG</v>
      </c>
    </row>
    <row r="7" spans="1:15">
      <c r="A7" s="1" t="s">
        <v>53</v>
      </c>
      <c r="B7" s="1">
        <v>1</v>
      </c>
      <c r="C7" s="1" t="s">
        <v>67</v>
      </c>
      <c r="D7" s="1">
        <v>6</v>
      </c>
      <c r="E7" s="1">
        <f t="shared" ca="1" si="0"/>
        <v>9</v>
      </c>
      <c r="F7" s="1">
        <f t="shared" ca="1" si="1"/>
        <v>0</v>
      </c>
      <c r="G7" s="1">
        <f t="shared" ca="1" si="2"/>
        <v>4</v>
      </c>
      <c r="H7" s="1" t="str">
        <f t="shared" ca="1" si="5"/>
        <v>A</v>
      </c>
      <c r="I7" s="1" t="str">
        <f t="shared" ca="1" si="3"/>
        <v>C</v>
      </c>
      <c r="J7" s="1" t="str">
        <f t="shared" ca="1" si="4"/>
        <v>E</v>
      </c>
      <c r="K7" s="1" t="str">
        <f t="shared" ca="1" si="6"/>
        <v>ACE</v>
      </c>
      <c r="L7" s="1" t="str">
        <f t="shared" ca="1" si="7"/>
        <v>A</v>
      </c>
      <c r="M7" s="1" t="str">
        <f t="shared" ca="1" si="8"/>
        <v>C</v>
      </c>
      <c r="N7" s="1" t="str">
        <f t="shared" ca="1" si="9"/>
        <v>E</v>
      </c>
      <c r="O7" s="1" t="str">
        <f t="shared" ca="1" si="10"/>
        <v>ACE</v>
      </c>
    </row>
    <row r="8" spans="1:15">
      <c r="A8" s="1" t="s">
        <v>53</v>
      </c>
      <c r="B8" s="1">
        <v>1</v>
      </c>
      <c r="C8" s="1" t="s">
        <v>67</v>
      </c>
      <c r="D8" s="1">
        <v>7</v>
      </c>
      <c r="E8" s="1">
        <f t="shared" ca="1" si="0"/>
        <v>11</v>
      </c>
      <c r="F8" s="1">
        <f t="shared" ca="1" si="1"/>
        <v>2</v>
      </c>
      <c r="G8" s="1">
        <f t="shared" ca="1" si="2"/>
        <v>5</v>
      </c>
      <c r="H8" s="1" t="str">
        <f t="shared" ca="1" si="5"/>
        <v>B</v>
      </c>
      <c r="I8" s="1" t="str">
        <f t="shared" ca="1" si="3"/>
        <v>D</v>
      </c>
      <c r="J8" s="1" t="str">
        <f t="shared" ca="1" si="4"/>
        <v>F</v>
      </c>
      <c r="K8" s="1" t="str">
        <f t="shared" ca="1" si="6"/>
        <v>BDF</v>
      </c>
      <c r="L8" s="1" t="str">
        <f t="shared" ca="1" si="7"/>
        <v>B</v>
      </c>
      <c r="M8" s="1" t="str">
        <f t="shared" ca="1" si="8"/>
        <v>D</v>
      </c>
      <c r="N8" s="1" t="str">
        <f t="shared" ca="1" si="9"/>
        <v>F</v>
      </c>
      <c r="O8" s="1" t="str">
        <f t="shared" ca="1" si="10"/>
        <v>BDF</v>
      </c>
    </row>
    <row r="9" spans="1:15">
      <c r="A9" s="1" t="s">
        <v>58</v>
      </c>
      <c r="B9" s="1">
        <v>2</v>
      </c>
      <c r="C9" s="1" t="s">
        <v>67</v>
      </c>
      <c r="D9" s="1">
        <v>1</v>
      </c>
      <c r="E9" s="1">
        <f t="shared" ca="1" si="0"/>
        <v>0</v>
      </c>
      <c r="F9" s="1">
        <f t="shared" ca="1" si="1"/>
        <v>4</v>
      </c>
      <c r="G9" s="1">
        <f t="shared" ca="1" si="2"/>
        <v>7</v>
      </c>
      <c r="H9" s="1" t="str">
        <f t="shared" ca="1" si="5"/>
        <v>C#</v>
      </c>
      <c r="I9" s="1" t="str">
        <f t="shared" ca="1" si="3"/>
        <v>F</v>
      </c>
      <c r="J9" s="1" t="str">
        <f t="shared" ca="1" si="4"/>
        <v>G#</v>
      </c>
      <c r="K9" s="1" t="str">
        <f t="shared" ca="1" si="6"/>
        <v>C#FG#</v>
      </c>
      <c r="L9" s="1" t="str">
        <f t="shared" ca="1" si="7"/>
        <v>Db</v>
      </c>
      <c r="M9" s="1" t="str">
        <f t="shared" ca="1" si="8"/>
        <v>F</v>
      </c>
      <c r="N9" s="1" t="str">
        <f t="shared" ca="1" si="9"/>
        <v>Ab</v>
      </c>
      <c r="O9" s="1" t="str">
        <f t="shared" ca="1" si="10"/>
        <v>AbDbF</v>
      </c>
    </row>
    <row r="10" spans="1:15">
      <c r="A10" s="1" t="s">
        <v>58</v>
      </c>
      <c r="B10" s="1">
        <v>2</v>
      </c>
      <c r="C10" s="1" t="s">
        <v>67</v>
      </c>
      <c r="D10" s="1">
        <v>2</v>
      </c>
      <c r="E10" s="1">
        <f t="shared" ca="1" si="0"/>
        <v>2</v>
      </c>
      <c r="F10" s="1">
        <f t="shared" ca="1" si="1"/>
        <v>5</v>
      </c>
      <c r="G10" s="1">
        <f t="shared" ca="1" si="2"/>
        <v>9</v>
      </c>
      <c r="H10" s="1" t="str">
        <f t="shared" ca="1" si="5"/>
        <v>D#</v>
      </c>
      <c r="I10" s="1" t="str">
        <f t="shared" ca="1" si="3"/>
        <v>F#</v>
      </c>
      <c r="J10" s="1" t="str">
        <f t="shared" ca="1" si="4"/>
        <v>A#</v>
      </c>
      <c r="K10" s="1" t="str">
        <f t="shared" ca="1" si="6"/>
        <v>A#D#F#</v>
      </c>
      <c r="L10" s="1" t="str">
        <f t="shared" ca="1" si="7"/>
        <v>Eb</v>
      </c>
      <c r="M10" s="1" t="str">
        <f t="shared" ca="1" si="8"/>
        <v>Gb</v>
      </c>
      <c r="N10" s="1" t="str">
        <f t="shared" ca="1" si="9"/>
        <v>Bb</v>
      </c>
      <c r="O10" s="1" t="str">
        <f t="shared" ca="1" si="10"/>
        <v>BbEbGb</v>
      </c>
    </row>
    <row r="11" spans="1:15">
      <c r="A11" s="1" t="s">
        <v>58</v>
      </c>
      <c r="B11" s="1">
        <v>2</v>
      </c>
      <c r="C11" s="1" t="s">
        <v>67</v>
      </c>
      <c r="D11" s="1">
        <v>3</v>
      </c>
      <c r="E11" s="1">
        <f t="shared" ca="1" si="0"/>
        <v>4</v>
      </c>
      <c r="F11" s="1">
        <f t="shared" ca="1" si="1"/>
        <v>7</v>
      </c>
      <c r="G11" s="1">
        <f t="shared" ca="1" si="2"/>
        <v>11</v>
      </c>
      <c r="H11" s="1" t="str">
        <f t="shared" ca="1" si="5"/>
        <v>F</v>
      </c>
      <c r="I11" s="1" t="str">
        <f t="shared" ca="1" si="3"/>
        <v>G#</v>
      </c>
      <c r="J11" s="1" t="str">
        <f t="shared" ca="1" si="4"/>
        <v>C</v>
      </c>
      <c r="K11" s="1" t="str">
        <f t="shared" ca="1" si="6"/>
        <v>CFG#</v>
      </c>
      <c r="L11" s="1" t="str">
        <f t="shared" ca="1" si="7"/>
        <v>F</v>
      </c>
      <c r="M11" s="1" t="str">
        <f t="shared" ca="1" si="8"/>
        <v>Ab</v>
      </c>
      <c r="N11" s="1" t="str">
        <f t="shared" ca="1" si="9"/>
        <v>C</v>
      </c>
      <c r="O11" s="1" t="str">
        <f t="shared" ca="1" si="10"/>
        <v>AbCF</v>
      </c>
    </row>
    <row r="12" spans="1:15">
      <c r="A12" s="1" t="s">
        <v>58</v>
      </c>
      <c r="B12" s="1">
        <v>2</v>
      </c>
      <c r="C12" s="1" t="s">
        <v>67</v>
      </c>
      <c r="D12" s="1">
        <v>4</v>
      </c>
      <c r="E12" s="1">
        <f t="shared" ca="1" si="0"/>
        <v>5</v>
      </c>
      <c r="F12" s="1">
        <f t="shared" ca="1" si="1"/>
        <v>9</v>
      </c>
      <c r="G12" s="1">
        <f t="shared" ca="1" si="2"/>
        <v>0</v>
      </c>
      <c r="H12" s="1" t="str">
        <f t="shared" ca="1" si="5"/>
        <v>F#</v>
      </c>
      <c r="I12" s="1" t="str">
        <f t="shared" ca="1" si="3"/>
        <v>A#</v>
      </c>
      <c r="J12" s="1" t="str">
        <f t="shared" ca="1" si="4"/>
        <v>C#</v>
      </c>
      <c r="K12" s="1" t="str">
        <f t="shared" ca="1" si="6"/>
        <v>A#C#F#</v>
      </c>
      <c r="L12" s="1" t="str">
        <f t="shared" ca="1" si="7"/>
        <v>Gb</v>
      </c>
      <c r="M12" s="1" t="str">
        <f t="shared" ca="1" si="8"/>
        <v>Bb</v>
      </c>
      <c r="N12" s="1" t="str">
        <f t="shared" ca="1" si="9"/>
        <v>Db</v>
      </c>
      <c r="O12" s="1" t="str">
        <f t="shared" ca="1" si="10"/>
        <v>BbDbGb</v>
      </c>
    </row>
    <row r="13" spans="1:15">
      <c r="A13" s="1" t="s">
        <v>58</v>
      </c>
      <c r="B13" s="1">
        <v>2</v>
      </c>
      <c r="C13" s="1" t="s">
        <v>67</v>
      </c>
      <c r="D13" s="1">
        <v>5</v>
      </c>
      <c r="E13" s="1">
        <f t="shared" ca="1" si="0"/>
        <v>7</v>
      </c>
      <c r="F13" s="1">
        <f t="shared" ca="1" si="1"/>
        <v>11</v>
      </c>
      <c r="G13" s="1">
        <f t="shared" ca="1" si="2"/>
        <v>2</v>
      </c>
      <c r="H13" s="1" t="str">
        <f t="shared" ca="1" si="5"/>
        <v>G#</v>
      </c>
      <c r="I13" s="1" t="str">
        <f t="shared" ca="1" si="3"/>
        <v>C</v>
      </c>
      <c r="J13" s="1" t="str">
        <f t="shared" ca="1" si="4"/>
        <v>D#</v>
      </c>
      <c r="K13" s="1" t="str">
        <f t="shared" ca="1" si="6"/>
        <v>CD#G#</v>
      </c>
      <c r="L13" s="1" t="str">
        <f t="shared" ca="1" si="7"/>
        <v>Ab</v>
      </c>
      <c r="M13" s="1" t="str">
        <f t="shared" ca="1" si="8"/>
        <v>C</v>
      </c>
      <c r="N13" s="1" t="str">
        <f t="shared" ca="1" si="9"/>
        <v>Eb</v>
      </c>
      <c r="O13" s="1" t="str">
        <f t="shared" ca="1" si="10"/>
        <v>AbCEb</v>
      </c>
    </row>
    <row r="14" spans="1:15">
      <c r="A14" s="1" t="s">
        <v>58</v>
      </c>
      <c r="B14" s="1">
        <v>2</v>
      </c>
      <c r="C14" s="1" t="s">
        <v>67</v>
      </c>
      <c r="D14" s="1">
        <v>6</v>
      </c>
      <c r="E14" s="1">
        <f t="shared" ca="1" si="0"/>
        <v>9</v>
      </c>
      <c r="F14" s="1">
        <f t="shared" ca="1" si="1"/>
        <v>0</v>
      </c>
      <c r="G14" s="1">
        <f t="shared" ca="1" si="2"/>
        <v>4</v>
      </c>
      <c r="H14" s="1" t="str">
        <f t="shared" ca="1" si="5"/>
        <v>A#</v>
      </c>
      <c r="I14" s="1" t="str">
        <f t="shared" ca="1" si="3"/>
        <v>C#</v>
      </c>
      <c r="J14" s="1" t="str">
        <f t="shared" ca="1" si="4"/>
        <v>F</v>
      </c>
      <c r="K14" s="1" t="str">
        <f t="shared" ca="1" si="6"/>
        <v>A#C#F</v>
      </c>
      <c r="L14" s="1" t="str">
        <f t="shared" ca="1" si="7"/>
        <v>Bb</v>
      </c>
      <c r="M14" s="1" t="str">
        <f t="shared" ca="1" si="8"/>
        <v>Db</v>
      </c>
      <c r="N14" s="1" t="str">
        <f t="shared" ca="1" si="9"/>
        <v>F</v>
      </c>
      <c r="O14" s="1" t="str">
        <f t="shared" ca="1" si="10"/>
        <v>BbDbF</v>
      </c>
    </row>
    <row r="15" spans="1:15">
      <c r="A15" s="1" t="s">
        <v>58</v>
      </c>
      <c r="B15" s="1">
        <v>2</v>
      </c>
      <c r="C15" s="1" t="s">
        <v>67</v>
      </c>
      <c r="D15" s="1">
        <v>7</v>
      </c>
      <c r="E15" s="1">
        <f t="shared" ca="1" si="0"/>
        <v>11</v>
      </c>
      <c r="F15" s="1">
        <f t="shared" ca="1" si="1"/>
        <v>2</v>
      </c>
      <c r="G15" s="1">
        <f t="shared" ca="1" si="2"/>
        <v>5</v>
      </c>
      <c r="H15" s="1" t="str">
        <f t="shared" ca="1" si="5"/>
        <v>C</v>
      </c>
      <c r="I15" s="1" t="str">
        <f t="shared" ca="1" si="3"/>
        <v>D#</v>
      </c>
      <c r="J15" s="1" t="str">
        <f t="shared" ca="1" si="4"/>
        <v>F#</v>
      </c>
      <c r="K15" s="1" t="str">
        <f t="shared" ca="1" si="6"/>
        <v>CD#F#</v>
      </c>
      <c r="L15" s="1" t="str">
        <f t="shared" ca="1" si="7"/>
        <v>C</v>
      </c>
      <c r="M15" s="1" t="str">
        <f t="shared" ca="1" si="8"/>
        <v>Eb</v>
      </c>
      <c r="N15" s="1" t="str">
        <f t="shared" ca="1" si="9"/>
        <v>Gb</v>
      </c>
      <c r="O15" s="1" t="str">
        <f t="shared" ca="1" si="10"/>
        <v>CEbGb</v>
      </c>
    </row>
    <row r="16" spans="1:15">
      <c r="A16" s="1" t="s">
        <v>55</v>
      </c>
      <c r="B16" s="1">
        <v>3</v>
      </c>
      <c r="C16" s="1" t="s">
        <v>67</v>
      </c>
      <c r="D16" s="1">
        <v>1</v>
      </c>
      <c r="E16" s="1">
        <f t="shared" ca="1" si="0"/>
        <v>0</v>
      </c>
      <c r="F16" s="1">
        <f t="shared" ca="1" si="1"/>
        <v>4</v>
      </c>
      <c r="G16" s="1">
        <f t="shared" ca="1" si="2"/>
        <v>7</v>
      </c>
      <c r="H16" s="1" t="str">
        <f t="shared" ca="1" si="5"/>
        <v>D</v>
      </c>
      <c r="I16" s="1" t="str">
        <f t="shared" ref="I16:I79" ca="1" si="11">INDIRECT("'Pitch classes'!B"&amp;IF($B16+F16&lt;=12,$B16+F16,$B16+F16-12)+1)</f>
        <v>F#</v>
      </c>
      <c r="J16" s="1" t="str">
        <f t="shared" ref="J16:J79" ca="1" si="12">INDIRECT("'Pitch classes'!B"&amp;IF($B16+G16&lt;=12,$B16+G16,$B16+G16-12)+1)</f>
        <v>A</v>
      </c>
      <c r="K16" s="1" t="str">
        <f t="shared" ca="1" si="6"/>
        <v>ADF#</v>
      </c>
      <c r="L16" s="1" t="str">
        <f t="shared" ca="1" si="7"/>
        <v>D</v>
      </c>
      <c r="M16" s="1" t="str">
        <f t="shared" ca="1" si="8"/>
        <v>Gb</v>
      </c>
      <c r="N16" s="1" t="str">
        <f t="shared" ca="1" si="9"/>
        <v>A</v>
      </c>
      <c r="O16" s="1" t="str">
        <f t="shared" ca="1" si="10"/>
        <v>ADGb</v>
      </c>
    </row>
    <row r="17" spans="1:15">
      <c r="A17" s="1" t="s">
        <v>55</v>
      </c>
      <c r="B17" s="1">
        <v>3</v>
      </c>
      <c r="C17" s="1" t="s">
        <v>67</v>
      </c>
      <c r="D17" s="1">
        <v>2</v>
      </c>
      <c r="E17" s="1">
        <f t="shared" ca="1" si="0"/>
        <v>2</v>
      </c>
      <c r="F17" s="1">
        <f t="shared" ca="1" si="1"/>
        <v>5</v>
      </c>
      <c r="G17" s="1">
        <f t="shared" ca="1" si="2"/>
        <v>9</v>
      </c>
      <c r="H17" s="1" t="str">
        <f t="shared" ref="H17:H80" ca="1" si="13">INDIRECT("'Pitch classes'!B"&amp;IF($B17+E17&lt;=12,$B17+E17,$B17+E17-12)+1)</f>
        <v>E</v>
      </c>
      <c r="I17" s="1" t="str">
        <f t="shared" ca="1" si="11"/>
        <v>G</v>
      </c>
      <c r="J17" s="1" t="str">
        <f t="shared" ca="1" si="12"/>
        <v>B</v>
      </c>
      <c r="K17" s="1" t="str">
        <f t="shared" ref="K17:K80" ca="1" si="14">GetSortedUniquePitchClasses(CONCATENATE(H17, I17, J17))</f>
        <v>BEG</v>
      </c>
      <c r="L17" s="1" t="str">
        <f t="shared" ref="L17:L80" ca="1" si="15">INDIRECT("'Pitch classes'!C"&amp;IF($B17+E17&lt;=12,$B17+E17,$B17+E17-12)+1)</f>
        <v>E</v>
      </c>
      <c r="M17" s="1" t="str">
        <f t="shared" ref="M17:M80" ca="1" si="16">INDIRECT("'Pitch classes'!C"&amp;IF($B17+F17&lt;=12,$B17+F17,$B17+F17-12)+1)</f>
        <v>G</v>
      </c>
      <c r="N17" s="1" t="str">
        <f t="shared" ref="N17:N80" ca="1" si="17">INDIRECT("'Pitch classes'!C"&amp;IF($B17+G17&lt;=12,$B17+G17,$B17+G17-12)+1)</f>
        <v>B</v>
      </c>
      <c r="O17" s="1" t="str">
        <f t="shared" ref="O17:O80" ca="1" si="18">GetSortedUniquePitchClasses(CONCATENATE(L17, M17, N17))</f>
        <v>BEG</v>
      </c>
    </row>
    <row r="18" spans="1:15">
      <c r="A18" s="1" t="s">
        <v>55</v>
      </c>
      <c r="B18" s="1">
        <v>3</v>
      </c>
      <c r="C18" s="1" t="s">
        <v>67</v>
      </c>
      <c r="D18" s="1">
        <v>3</v>
      </c>
      <c r="E18" s="1">
        <f t="shared" ca="1" si="0"/>
        <v>4</v>
      </c>
      <c r="F18" s="1">
        <f t="shared" ca="1" si="1"/>
        <v>7</v>
      </c>
      <c r="G18" s="1">
        <f t="shared" ca="1" si="2"/>
        <v>11</v>
      </c>
      <c r="H18" s="1" t="str">
        <f t="shared" ca="1" si="13"/>
        <v>F#</v>
      </c>
      <c r="I18" s="1" t="str">
        <f t="shared" ca="1" si="11"/>
        <v>A</v>
      </c>
      <c r="J18" s="1" t="str">
        <f t="shared" ca="1" si="12"/>
        <v>C#</v>
      </c>
      <c r="K18" s="1" t="str">
        <f t="shared" ca="1" si="14"/>
        <v>AC#F#</v>
      </c>
      <c r="L18" s="1" t="str">
        <f t="shared" ca="1" si="15"/>
        <v>Gb</v>
      </c>
      <c r="M18" s="1" t="str">
        <f t="shared" ca="1" si="16"/>
        <v>A</v>
      </c>
      <c r="N18" s="1" t="str">
        <f t="shared" ca="1" si="17"/>
        <v>Db</v>
      </c>
      <c r="O18" s="1" t="str">
        <f t="shared" ca="1" si="18"/>
        <v>ADbGb</v>
      </c>
    </row>
    <row r="19" spans="1:15">
      <c r="A19" s="1" t="s">
        <v>55</v>
      </c>
      <c r="B19" s="1">
        <v>3</v>
      </c>
      <c r="C19" s="1" t="s">
        <v>67</v>
      </c>
      <c r="D19" s="1">
        <v>4</v>
      </c>
      <c r="E19" s="1">
        <f t="shared" ca="1" si="0"/>
        <v>5</v>
      </c>
      <c r="F19" s="1">
        <f t="shared" ca="1" si="1"/>
        <v>9</v>
      </c>
      <c r="G19" s="1">
        <f t="shared" ca="1" si="2"/>
        <v>0</v>
      </c>
      <c r="H19" s="1" t="str">
        <f t="shared" ca="1" si="13"/>
        <v>G</v>
      </c>
      <c r="I19" s="1" t="str">
        <f t="shared" ca="1" si="11"/>
        <v>B</v>
      </c>
      <c r="J19" s="1" t="str">
        <f t="shared" ca="1" si="12"/>
        <v>D</v>
      </c>
      <c r="K19" s="1" t="str">
        <f t="shared" ca="1" si="14"/>
        <v>BDG</v>
      </c>
      <c r="L19" s="1" t="str">
        <f t="shared" ca="1" si="15"/>
        <v>G</v>
      </c>
      <c r="M19" s="1" t="str">
        <f t="shared" ca="1" si="16"/>
        <v>B</v>
      </c>
      <c r="N19" s="1" t="str">
        <f t="shared" ca="1" si="17"/>
        <v>D</v>
      </c>
      <c r="O19" s="1" t="str">
        <f t="shared" ca="1" si="18"/>
        <v>BDG</v>
      </c>
    </row>
    <row r="20" spans="1:15">
      <c r="A20" s="1" t="s">
        <v>55</v>
      </c>
      <c r="B20" s="1">
        <v>3</v>
      </c>
      <c r="C20" s="1" t="s">
        <v>67</v>
      </c>
      <c r="D20" s="1">
        <v>5</v>
      </c>
      <c r="E20" s="1">
        <f t="shared" ca="1" si="0"/>
        <v>7</v>
      </c>
      <c r="F20" s="1">
        <f t="shared" ca="1" si="1"/>
        <v>11</v>
      </c>
      <c r="G20" s="1">
        <f t="shared" ca="1" si="2"/>
        <v>2</v>
      </c>
      <c r="H20" s="1" t="str">
        <f t="shared" ca="1" si="13"/>
        <v>A</v>
      </c>
      <c r="I20" s="1" t="str">
        <f t="shared" ca="1" si="11"/>
        <v>C#</v>
      </c>
      <c r="J20" s="1" t="str">
        <f t="shared" ca="1" si="12"/>
        <v>E</v>
      </c>
      <c r="K20" s="1" t="str">
        <f t="shared" ca="1" si="14"/>
        <v>AC#E</v>
      </c>
      <c r="L20" s="1" t="str">
        <f t="shared" ca="1" si="15"/>
        <v>A</v>
      </c>
      <c r="M20" s="1" t="str">
        <f t="shared" ca="1" si="16"/>
        <v>Db</v>
      </c>
      <c r="N20" s="1" t="str">
        <f t="shared" ca="1" si="17"/>
        <v>E</v>
      </c>
      <c r="O20" s="1" t="str">
        <f t="shared" ca="1" si="18"/>
        <v>ADbE</v>
      </c>
    </row>
    <row r="21" spans="1:15">
      <c r="A21" s="1" t="s">
        <v>55</v>
      </c>
      <c r="B21" s="1">
        <v>3</v>
      </c>
      <c r="C21" s="1" t="s">
        <v>67</v>
      </c>
      <c r="D21" s="1">
        <v>6</v>
      </c>
      <c r="E21" s="1">
        <f t="shared" ca="1" si="0"/>
        <v>9</v>
      </c>
      <c r="F21" s="1">
        <f t="shared" ca="1" si="1"/>
        <v>0</v>
      </c>
      <c r="G21" s="1">
        <f t="shared" ca="1" si="2"/>
        <v>4</v>
      </c>
      <c r="H21" s="1" t="str">
        <f t="shared" ca="1" si="13"/>
        <v>B</v>
      </c>
      <c r="I21" s="1" t="str">
        <f t="shared" ca="1" si="11"/>
        <v>D</v>
      </c>
      <c r="J21" s="1" t="str">
        <f t="shared" ca="1" si="12"/>
        <v>F#</v>
      </c>
      <c r="K21" s="1" t="str">
        <f t="shared" ca="1" si="14"/>
        <v>BDF#</v>
      </c>
      <c r="L21" s="1" t="str">
        <f t="shared" ca="1" si="15"/>
        <v>B</v>
      </c>
      <c r="M21" s="1" t="str">
        <f t="shared" ca="1" si="16"/>
        <v>D</v>
      </c>
      <c r="N21" s="1" t="str">
        <f t="shared" ca="1" si="17"/>
        <v>Gb</v>
      </c>
      <c r="O21" s="1" t="str">
        <f t="shared" ca="1" si="18"/>
        <v>BDGb</v>
      </c>
    </row>
    <row r="22" spans="1:15">
      <c r="A22" s="1" t="s">
        <v>55</v>
      </c>
      <c r="B22" s="1">
        <v>3</v>
      </c>
      <c r="C22" s="1" t="s">
        <v>67</v>
      </c>
      <c r="D22" s="1">
        <v>7</v>
      </c>
      <c r="E22" s="1">
        <f t="shared" ca="1" si="0"/>
        <v>11</v>
      </c>
      <c r="F22" s="1">
        <f t="shared" ca="1" si="1"/>
        <v>2</v>
      </c>
      <c r="G22" s="1">
        <f t="shared" ca="1" si="2"/>
        <v>5</v>
      </c>
      <c r="H22" s="1" t="str">
        <f t="shared" ca="1" si="13"/>
        <v>C#</v>
      </c>
      <c r="I22" s="1" t="str">
        <f t="shared" ca="1" si="11"/>
        <v>E</v>
      </c>
      <c r="J22" s="1" t="str">
        <f t="shared" ca="1" si="12"/>
        <v>G</v>
      </c>
      <c r="K22" s="1" t="str">
        <f t="shared" ca="1" si="14"/>
        <v>C#EG</v>
      </c>
      <c r="L22" s="1" t="str">
        <f t="shared" ca="1" si="15"/>
        <v>Db</v>
      </c>
      <c r="M22" s="1" t="str">
        <f t="shared" ca="1" si="16"/>
        <v>E</v>
      </c>
      <c r="N22" s="1" t="str">
        <f t="shared" ca="1" si="17"/>
        <v>G</v>
      </c>
      <c r="O22" s="1" t="str">
        <f t="shared" ca="1" si="18"/>
        <v>DbEG</v>
      </c>
    </row>
    <row r="23" spans="1:15">
      <c r="A23" s="1" t="s">
        <v>59</v>
      </c>
      <c r="B23" s="1">
        <v>4</v>
      </c>
      <c r="C23" s="1" t="s">
        <v>67</v>
      </c>
      <c r="D23" s="1">
        <v>1</v>
      </c>
      <c r="E23" s="1">
        <f t="shared" ca="1" si="0"/>
        <v>0</v>
      </c>
      <c r="F23" s="1">
        <f t="shared" ca="1" si="1"/>
        <v>4</v>
      </c>
      <c r="G23" s="1">
        <f t="shared" ca="1" si="2"/>
        <v>7</v>
      </c>
      <c r="H23" s="1" t="str">
        <f t="shared" ca="1" si="13"/>
        <v>D#</v>
      </c>
      <c r="I23" s="1" t="str">
        <f t="shared" ca="1" si="11"/>
        <v>G</v>
      </c>
      <c r="J23" s="1" t="str">
        <f t="shared" ca="1" si="12"/>
        <v>A#</v>
      </c>
      <c r="K23" s="1" t="str">
        <f t="shared" ca="1" si="14"/>
        <v>A#D#G</v>
      </c>
      <c r="L23" s="1" t="str">
        <f t="shared" ca="1" si="15"/>
        <v>Eb</v>
      </c>
      <c r="M23" s="1" t="str">
        <f t="shared" ca="1" si="16"/>
        <v>G</v>
      </c>
      <c r="N23" s="1" t="str">
        <f t="shared" ca="1" si="17"/>
        <v>Bb</v>
      </c>
      <c r="O23" s="1" t="str">
        <f t="shared" ca="1" si="18"/>
        <v>BbEbG</v>
      </c>
    </row>
    <row r="24" spans="1:15">
      <c r="A24" s="1" t="s">
        <v>59</v>
      </c>
      <c r="B24" s="1">
        <v>4</v>
      </c>
      <c r="C24" s="1" t="s">
        <v>67</v>
      </c>
      <c r="D24" s="1">
        <v>2</v>
      </c>
      <c r="E24" s="1">
        <f t="shared" ca="1" si="0"/>
        <v>2</v>
      </c>
      <c r="F24" s="1">
        <f t="shared" ca="1" si="1"/>
        <v>5</v>
      </c>
      <c r="G24" s="1">
        <f t="shared" ca="1" si="2"/>
        <v>9</v>
      </c>
      <c r="H24" s="1" t="str">
        <f t="shared" ca="1" si="13"/>
        <v>F</v>
      </c>
      <c r="I24" s="1" t="str">
        <f t="shared" ca="1" si="11"/>
        <v>G#</v>
      </c>
      <c r="J24" s="1" t="str">
        <f t="shared" ca="1" si="12"/>
        <v>C</v>
      </c>
      <c r="K24" s="1" t="str">
        <f t="shared" ca="1" si="14"/>
        <v>CFG#</v>
      </c>
      <c r="L24" s="1" t="str">
        <f t="shared" ca="1" si="15"/>
        <v>F</v>
      </c>
      <c r="M24" s="1" t="str">
        <f t="shared" ca="1" si="16"/>
        <v>Ab</v>
      </c>
      <c r="N24" s="1" t="str">
        <f t="shared" ca="1" si="17"/>
        <v>C</v>
      </c>
      <c r="O24" s="1" t="str">
        <f t="shared" ca="1" si="18"/>
        <v>AbCF</v>
      </c>
    </row>
    <row r="25" spans="1:15">
      <c r="A25" s="1" t="s">
        <v>59</v>
      </c>
      <c r="B25" s="1">
        <v>4</v>
      </c>
      <c r="C25" s="1" t="s">
        <v>67</v>
      </c>
      <c r="D25" s="1">
        <v>3</v>
      </c>
      <c r="E25" s="1">
        <f t="shared" ca="1" si="0"/>
        <v>4</v>
      </c>
      <c r="F25" s="1">
        <f t="shared" ca="1" si="1"/>
        <v>7</v>
      </c>
      <c r="G25" s="1">
        <f t="shared" ca="1" si="2"/>
        <v>11</v>
      </c>
      <c r="H25" s="1" t="str">
        <f t="shared" ca="1" si="13"/>
        <v>G</v>
      </c>
      <c r="I25" s="1" t="str">
        <f t="shared" ca="1" si="11"/>
        <v>A#</v>
      </c>
      <c r="J25" s="1" t="str">
        <f t="shared" ca="1" si="12"/>
        <v>D</v>
      </c>
      <c r="K25" s="1" t="str">
        <f t="shared" ca="1" si="14"/>
        <v>A#DG</v>
      </c>
      <c r="L25" s="1" t="str">
        <f t="shared" ca="1" si="15"/>
        <v>G</v>
      </c>
      <c r="M25" s="1" t="str">
        <f t="shared" ca="1" si="16"/>
        <v>Bb</v>
      </c>
      <c r="N25" s="1" t="str">
        <f t="shared" ca="1" si="17"/>
        <v>D</v>
      </c>
      <c r="O25" s="1" t="str">
        <f t="shared" ca="1" si="18"/>
        <v>BbDG</v>
      </c>
    </row>
    <row r="26" spans="1:15">
      <c r="A26" s="1" t="s">
        <v>59</v>
      </c>
      <c r="B26" s="1">
        <v>4</v>
      </c>
      <c r="C26" s="1" t="s">
        <v>67</v>
      </c>
      <c r="D26" s="1">
        <v>4</v>
      </c>
      <c r="E26" s="1">
        <f t="shared" ca="1" si="0"/>
        <v>5</v>
      </c>
      <c r="F26" s="1">
        <f t="shared" ca="1" si="1"/>
        <v>9</v>
      </c>
      <c r="G26" s="1">
        <f t="shared" ca="1" si="2"/>
        <v>0</v>
      </c>
      <c r="H26" s="1" t="str">
        <f t="shared" ca="1" si="13"/>
        <v>G#</v>
      </c>
      <c r="I26" s="1" t="str">
        <f t="shared" ca="1" si="11"/>
        <v>C</v>
      </c>
      <c r="J26" s="1" t="str">
        <f t="shared" ca="1" si="12"/>
        <v>D#</v>
      </c>
      <c r="K26" s="1" t="str">
        <f t="shared" ca="1" si="14"/>
        <v>CD#G#</v>
      </c>
      <c r="L26" s="1" t="str">
        <f t="shared" ca="1" si="15"/>
        <v>Ab</v>
      </c>
      <c r="M26" s="1" t="str">
        <f t="shared" ca="1" si="16"/>
        <v>C</v>
      </c>
      <c r="N26" s="1" t="str">
        <f t="shared" ca="1" si="17"/>
        <v>Eb</v>
      </c>
      <c r="O26" s="1" t="str">
        <f t="shared" ca="1" si="18"/>
        <v>AbCEb</v>
      </c>
    </row>
    <row r="27" spans="1:15">
      <c r="A27" s="1" t="s">
        <v>59</v>
      </c>
      <c r="B27" s="1">
        <v>4</v>
      </c>
      <c r="C27" s="1" t="s">
        <v>67</v>
      </c>
      <c r="D27" s="1">
        <v>5</v>
      </c>
      <c r="E27" s="1">
        <f t="shared" ca="1" si="0"/>
        <v>7</v>
      </c>
      <c r="F27" s="1">
        <f t="shared" ca="1" si="1"/>
        <v>11</v>
      </c>
      <c r="G27" s="1">
        <f t="shared" ca="1" si="2"/>
        <v>2</v>
      </c>
      <c r="H27" s="1" t="str">
        <f t="shared" ca="1" si="13"/>
        <v>A#</v>
      </c>
      <c r="I27" s="1" t="str">
        <f t="shared" ca="1" si="11"/>
        <v>D</v>
      </c>
      <c r="J27" s="1" t="str">
        <f t="shared" ca="1" si="12"/>
        <v>F</v>
      </c>
      <c r="K27" s="1" t="str">
        <f t="shared" ca="1" si="14"/>
        <v>A#DF</v>
      </c>
      <c r="L27" s="1" t="str">
        <f t="shared" ca="1" si="15"/>
        <v>Bb</v>
      </c>
      <c r="M27" s="1" t="str">
        <f t="shared" ca="1" si="16"/>
        <v>D</v>
      </c>
      <c r="N27" s="1" t="str">
        <f t="shared" ca="1" si="17"/>
        <v>F</v>
      </c>
      <c r="O27" s="1" t="str">
        <f t="shared" ca="1" si="18"/>
        <v>BbDF</v>
      </c>
    </row>
    <row r="28" spans="1:15">
      <c r="A28" s="1" t="s">
        <v>59</v>
      </c>
      <c r="B28" s="1">
        <v>4</v>
      </c>
      <c r="C28" s="1" t="s">
        <v>67</v>
      </c>
      <c r="D28" s="1">
        <v>6</v>
      </c>
      <c r="E28" s="1">
        <f t="shared" ca="1" si="0"/>
        <v>9</v>
      </c>
      <c r="F28" s="1">
        <f t="shared" ca="1" si="1"/>
        <v>0</v>
      </c>
      <c r="G28" s="1">
        <f t="shared" ca="1" si="2"/>
        <v>4</v>
      </c>
      <c r="H28" s="1" t="str">
        <f t="shared" ca="1" si="13"/>
        <v>C</v>
      </c>
      <c r="I28" s="1" t="str">
        <f t="shared" ca="1" si="11"/>
        <v>D#</v>
      </c>
      <c r="J28" s="1" t="str">
        <f t="shared" ca="1" si="12"/>
        <v>G</v>
      </c>
      <c r="K28" s="1" t="str">
        <f t="shared" ca="1" si="14"/>
        <v>CD#G</v>
      </c>
      <c r="L28" s="1" t="str">
        <f t="shared" ca="1" si="15"/>
        <v>C</v>
      </c>
      <c r="M28" s="1" t="str">
        <f t="shared" ca="1" si="16"/>
        <v>Eb</v>
      </c>
      <c r="N28" s="1" t="str">
        <f t="shared" ca="1" si="17"/>
        <v>G</v>
      </c>
      <c r="O28" s="1" t="str">
        <f t="shared" ca="1" si="18"/>
        <v>CEbG</v>
      </c>
    </row>
    <row r="29" spans="1:15">
      <c r="A29" s="1" t="s">
        <v>59</v>
      </c>
      <c r="B29" s="1">
        <v>4</v>
      </c>
      <c r="C29" s="1" t="s">
        <v>67</v>
      </c>
      <c r="D29" s="1">
        <v>7</v>
      </c>
      <c r="E29" s="1">
        <f t="shared" ca="1" si="0"/>
        <v>11</v>
      </c>
      <c r="F29" s="1">
        <f t="shared" ca="1" si="1"/>
        <v>2</v>
      </c>
      <c r="G29" s="1">
        <f t="shared" ca="1" si="2"/>
        <v>5</v>
      </c>
      <c r="H29" s="1" t="str">
        <f t="shared" ca="1" si="13"/>
        <v>D</v>
      </c>
      <c r="I29" s="1" t="str">
        <f t="shared" ca="1" si="11"/>
        <v>F</v>
      </c>
      <c r="J29" s="1" t="str">
        <f t="shared" ca="1" si="12"/>
        <v>G#</v>
      </c>
      <c r="K29" s="1" t="str">
        <f t="shared" ca="1" si="14"/>
        <v>DFG#</v>
      </c>
      <c r="L29" s="1" t="str">
        <f t="shared" ca="1" si="15"/>
        <v>D</v>
      </c>
      <c r="M29" s="1" t="str">
        <f t="shared" ca="1" si="16"/>
        <v>F</v>
      </c>
      <c r="N29" s="1" t="str">
        <f t="shared" ca="1" si="17"/>
        <v>Ab</v>
      </c>
      <c r="O29" s="1" t="str">
        <f t="shared" ca="1" si="18"/>
        <v>AbDF</v>
      </c>
    </row>
    <row r="30" spans="1:15">
      <c r="A30" s="1" t="s">
        <v>56</v>
      </c>
      <c r="B30" s="1">
        <v>5</v>
      </c>
      <c r="C30" s="1" t="s">
        <v>67</v>
      </c>
      <c r="D30" s="1">
        <v>1</v>
      </c>
      <c r="E30" s="1">
        <f t="shared" ca="1" si="0"/>
        <v>0</v>
      </c>
      <c r="F30" s="1">
        <f t="shared" ca="1" si="1"/>
        <v>4</v>
      </c>
      <c r="G30" s="1">
        <f t="shared" ca="1" si="2"/>
        <v>7</v>
      </c>
      <c r="H30" s="1" t="str">
        <f t="shared" ca="1" si="13"/>
        <v>E</v>
      </c>
      <c r="I30" s="1" t="str">
        <f t="shared" ca="1" si="11"/>
        <v>G#</v>
      </c>
      <c r="J30" s="1" t="str">
        <f t="shared" ca="1" si="12"/>
        <v>B</v>
      </c>
      <c r="K30" s="1" t="str">
        <f t="shared" ca="1" si="14"/>
        <v>BEG#</v>
      </c>
      <c r="L30" s="1" t="str">
        <f t="shared" ca="1" si="15"/>
        <v>E</v>
      </c>
      <c r="M30" s="1" t="str">
        <f t="shared" ca="1" si="16"/>
        <v>Ab</v>
      </c>
      <c r="N30" s="1" t="str">
        <f t="shared" ca="1" si="17"/>
        <v>B</v>
      </c>
      <c r="O30" s="1" t="str">
        <f t="shared" ca="1" si="18"/>
        <v>AbBE</v>
      </c>
    </row>
    <row r="31" spans="1:15">
      <c r="A31" s="1" t="s">
        <v>56</v>
      </c>
      <c r="B31" s="1">
        <v>5</v>
      </c>
      <c r="C31" s="1" t="s">
        <v>67</v>
      </c>
      <c r="D31" s="1">
        <v>2</v>
      </c>
      <c r="E31" s="1">
        <f t="shared" ca="1" si="0"/>
        <v>2</v>
      </c>
      <c r="F31" s="1">
        <f t="shared" ca="1" si="1"/>
        <v>5</v>
      </c>
      <c r="G31" s="1">
        <f t="shared" ca="1" si="2"/>
        <v>9</v>
      </c>
      <c r="H31" s="1" t="str">
        <f t="shared" ca="1" si="13"/>
        <v>F#</v>
      </c>
      <c r="I31" s="1" t="str">
        <f t="shared" ca="1" si="11"/>
        <v>A</v>
      </c>
      <c r="J31" s="1" t="str">
        <f t="shared" ca="1" si="12"/>
        <v>C#</v>
      </c>
      <c r="K31" s="1" t="str">
        <f t="shared" ca="1" si="14"/>
        <v>AC#F#</v>
      </c>
      <c r="L31" s="1" t="str">
        <f t="shared" ca="1" si="15"/>
        <v>Gb</v>
      </c>
      <c r="M31" s="1" t="str">
        <f t="shared" ca="1" si="16"/>
        <v>A</v>
      </c>
      <c r="N31" s="1" t="str">
        <f t="shared" ca="1" si="17"/>
        <v>Db</v>
      </c>
      <c r="O31" s="1" t="str">
        <f t="shared" ca="1" si="18"/>
        <v>ADbGb</v>
      </c>
    </row>
    <row r="32" spans="1:15">
      <c r="A32" s="1" t="s">
        <v>56</v>
      </c>
      <c r="B32" s="1">
        <v>5</v>
      </c>
      <c r="C32" s="1" t="s">
        <v>67</v>
      </c>
      <c r="D32" s="1">
        <v>3</v>
      </c>
      <c r="E32" s="1">
        <f t="shared" ca="1" si="0"/>
        <v>4</v>
      </c>
      <c r="F32" s="1">
        <f t="shared" ca="1" si="1"/>
        <v>7</v>
      </c>
      <c r="G32" s="1">
        <f t="shared" ca="1" si="2"/>
        <v>11</v>
      </c>
      <c r="H32" s="1" t="str">
        <f t="shared" ca="1" si="13"/>
        <v>G#</v>
      </c>
      <c r="I32" s="1" t="str">
        <f t="shared" ca="1" si="11"/>
        <v>B</v>
      </c>
      <c r="J32" s="1" t="str">
        <f t="shared" ca="1" si="12"/>
        <v>D#</v>
      </c>
      <c r="K32" s="1" t="str">
        <f t="shared" ca="1" si="14"/>
        <v>BD#G#</v>
      </c>
      <c r="L32" s="1" t="str">
        <f t="shared" ca="1" si="15"/>
        <v>Ab</v>
      </c>
      <c r="M32" s="1" t="str">
        <f t="shared" ca="1" si="16"/>
        <v>B</v>
      </c>
      <c r="N32" s="1" t="str">
        <f t="shared" ca="1" si="17"/>
        <v>Eb</v>
      </c>
      <c r="O32" s="1" t="str">
        <f t="shared" ca="1" si="18"/>
        <v>AbBEb</v>
      </c>
    </row>
    <row r="33" spans="1:15">
      <c r="A33" s="1" t="s">
        <v>56</v>
      </c>
      <c r="B33" s="1">
        <v>5</v>
      </c>
      <c r="C33" s="1" t="s">
        <v>67</v>
      </c>
      <c r="D33" s="1">
        <v>4</v>
      </c>
      <c r="E33" s="1">
        <f t="shared" ca="1" si="0"/>
        <v>5</v>
      </c>
      <c r="F33" s="1">
        <f t="shared" ca="1" si="1"/>
        <v>9</v>
      </c>
      <c r="G33" s="1">
        <f t="shared" ca="1" si="2"/>
        <v>0</v>
      </c>
      <c r="H33" s="1" t="str">
        <f t="shared" ca="1" si="13"/>
        <v>A</v>
      </c>
      <c r="I33" s="1" t="str">
        <f t="shared" ca="1" si="11"/>
        <v>C#</v>
      </c>
      <c r="J33" s="1" t="str">
        <f t="shared" ca="1" si="12"/>
        <v>E</v>
      </c>
      <c r="K33" s="1" t="str">
        <f t="shared" ca="1" si="14"/>
        <v>AC#E</v>
      </c>
      <c r="L33" s="1" t="str">
        <f t="shared" ca="1" si="15"/>
        <v>A</v>
      </c>
      <c r="M33" s="1" t="str">
        <f t="shared" ca="1" si="16"/>
        <v>Db</v>
      </c>
      <c r="N33" s="1" t="str">
        <f t="shared" ca="1" si="17"/>
        <v>E</v>
      </c>
      <c r="O33" s="1" t="str">
        <f t="shared" ca="1" si="18"/>
        <v>ADbE</v>
      </c>
    </row>
    <row r="34" spans="1:15">
      <c r="A34" s="1" t="s">
        <v>56</v>
      </c>
      <c r="B34" s="1">
        <v>5</v>
      </c>
      <c r="C34" s="1" t="s">
        <v>67</v>
      </c>
      <c r="D34" s="1">
        <v>5</v>
      </c>
      <c r="E34" s="1">
        <f t="shared" ref="E34:E65" ca="1" si="19">INDIRECT("'Scales'!$B" &amp; IF($D34 &lt;=7, $D34+1, $D34-6))</f>
        <v>7</v>
      </c>
      <c r="F34" s="1">
        <f t="shared" ref="F34:F65" ca="1" si="20">INDIRECT("'Scales'!$B" &amp; IF($D34 &lt;=5, $D34+3, $D34-4))</f>
        <v>11</v>
      </c>
      <c r="G34" s="1">
        <f t="shared" ref="G34:G65" ca="1" si="21">INDIRECT("'Scales'!$B" &amp; IF($D34 &lt;=3, $D34+5, $D34-2))</f>
        <v>2</v>
      </c>
      <c r="H34" s="1" t="str">
        <f t="shared" ca="1" si="13"/>
        <v>B</v>
      </c>
      <c r="I34" s="1" t="str">
        <f t="shared" ca="1" si="11"/>
        <v>D#</v>
      </c>
      <c r="J34" s="1" t="str">
        <f t="shared" ca="1" si="12"/>
        <v>F#</v>
      </c>
      <c r="K34" s="1" t="str">
        <f t="shared" ca="1" si="14"/>
        <v>BD#F#</v>
      </c>
      <c r="L34" s="1" t="str">
        <f t="shared" ca="1" si="15"/>
        <v>B</v>
      </c>
      <c r="M34" s="1" t="str">
        <f t="shared" ca="1" si="16"/>
        <v>Eb</v>
      </c>
      <c r="N34" s="1" t="str">
        <f t="shared" ca="1" si="17"/>
        <v>Gb</v>
      </c>
      <c r="O34" s="1" t="str">
        <f t="shared" ca="1" si="18"/>
        <v>BEbGb</v>
      </c>
    </row>
    <row r="35" spans="1:15">
      <c r="A35" s="1" t="s">
        <v>56</v>
      </c>
      <c r="B35" s="1">
        <v>5</v>
      </c>
      <c r="C35" s="1" t="s">
        <v>67</v>
      </c>
      <c r="D35" s="1">
        <v>6</v>
      </c>
      <c r="E35" s="1">
        <f t="shared" ca="1" si="19"/>
        <v>9</v>
      </c>
      <c r="F35" s="1">
        <f t="shared" ca="1" si="20"/>
        <v>0</v>
      </c>
      <c r="G35" s="1">
        <f t="shared" ca="1" si="21"/>
        <v>4</v>
      </c>
      <c r="H35" s="1" t="str">
        <f t="shared" ca="1" si="13"/>
        <v>C#</v>
      </c>
      <c r="I35" s="1" t="str">
        <f t="shared" ca="1" si="11"/>
        <v>E</v>
      </c>
      <c r="J35" s="1" t="str">
        <f t="shared" ca="1" si="12"/>
        <v>G#</v>
      </c>
      <c r="K35" s="1" t="str">
        <f t="shared" ca="1" si="14"/>
        <v>C#EG#</v>
      </c>
      <c r="L35" s="1" t="str">
        <f t="shared" ca="1" si="15"/>
        <v>Db</v>
      </c>
      <c r="M35" s="1" t="str">
        <f t="shared" ca="1" si="16"/>
        <v>E</v>
      </c>
      <c r="N35" s="1" t="str">
        <f t="shared" ca="1" si="17"/>
        <v>Ab</v>
      </c>
      <c r="O35" s="1" t="str">
        <f t="shared" ca="1" si="18"/>
        <v>AbDbE</v>
      </c>
    </row>
    <row r="36" spans="1:15">
      <c r="A36" s="1" t="s">
        <v>56</v>
      </c>
      <c r="B36" s="1">
        <v>5</v>
      </c>
      <c r="C36" s="1" t="s">
        <v>67</v>
      </c>
      <c r="D36" s="1">
        <v>7</v>
      </c>
      <c r="E36" s="1">
        <f t="shared" ca="1" si="19"/>
        <v>11</v>
      </c>
      <c r="F36" s="1">
        <f t="shared" ca="1" si="20"/>
        <v>2</v>
      </c>
      <c r="G36" s="1">
        <f t="shared" ca="1" si="21"/>
        <v>5</v>
      </c>
      <c r="H36" s="1" t="str">
        <f t="shared" ca="1" si="13"/>
        <v>D#</v>
      </c>
      <c r="I36" s="1" t="str">
        <f t="shared" ca="1" si="11"/>
        <v>F#</v>
      </c>
      <c r="J36" s="1" t="str">
        <f t="shared" ca="1" si="12"/>
        <v>A</v>
      </c>
      <c r="K36" s="1" t="str">
        <f t="shared" ca="1" si="14"/>
        <v>AD#F#</v>
      </c>
      <c r="L36" s="1" t="str">
        <f t="shared" ca="1" si="15"/>
        <v>Eb</v>
      </c>
      <c r="M36" s="1" t="str">
        <f t="shared" ca="1" si="16"/>
        <v>Gb</v>
      </c>
      <c r="N36" s="1" t="str">
        <f t="shared" ca="1" si="17"/>
        <v>A</v>
      </c>
      <c r="O36" s="1" t="str">
        <f t="shared" ca="1" si="18"/>
        <v>AEbGb</v>
      </c>
    </row>
    <row r="37" spans="1:15">
      <c r="A37" s="1" t="s">
        <v>60</v>
      </c>
      <c r="B37" s="1">
        <v>6</v>
      </c>
      <c r="C37" s="1" t="s">
        <v>67</v>
      </c>
      <c r="D37" s="1">
        <v>1</v>
      </c>
      <c r="E37" s="1">
        <f t="shared" ca="1" si="19"/>
        <v>0</v>
      </c>
      <c r="F37" s="1">
        <f t="shared" ca="1" si="20"/>
        <v>4</v>
      </c>
      <c r="G37" s="1">
        <f t="shared" ca="1" si="21"/>
        <v>7</v>
      </c>
      <c r="H37" s="1" t="str">
        <f t="shared" ca="1" si="13"/>
        <v>F</v>
      </c>
      <c r="I37" s="1" t="str">
        <f t="shared" ca="1" si="11"/>
        <v>A</v>
      </c>
      <c r="J37" s="1" t="str">
        <f t="shared" ca="1" si="12"/>
        <v>C</v>
      </c>
      <c r="K37" s="1" t="str">
        <f t="shared" ca="1" si="14"/>
        <v>ACF</v>
      </c>
      <c r="L37" s="1" t="str">
        <f t="shared" ca="1" si="15"/>
        <v>F</v>
      </c>
      <c r="M37" s="1" t="str">
        <f t="shared" ca="1" si="16"/>
        <v>A</v>
      </c>
      <c r="N37" s="1" t="str">
        <f t="shared" ca="1" si="17"/>
        <v>C</v>
      </c>
      <c r="O37" s="1" t="str">
        <f t="shared" ca="1" si="18"/>
        <v>ACF</v>
      </c>
    </row>
    <row r="38" spans="1:15">
      <c r="A38" s="1" t="s">
        <v>60</v>
      </c>
      <c r="B38" s="1">
        <v>6</v>
      </c>
      <c r="C38" s="1" t="s">
        <v>67</v>
      </c>
      <c r="D38" s="1">
        <v>2</v>
      </c>
      <c r="E38" s="1">
        <f t="shared" ca="1" si="19"/>
        <v>2</v>
      </c>
      <c r="F38" s="1">
        <f t="shared" ca="1" si="20"/>
        <v>5</v>
      </c>
      <c r="G38" s="1">
        <f t="shared" ca="1" si="21"/>
        <v>9</v>
      </c>
      <c r="H38" s="1" t="str">
        <f t="shared" ca="1" si="13"/>
        <v>G</v>
      </c>
      <c r="I38" s="1" t="str">
        <f t="shared" ca="1" si="11"/>
        <v>A#</v>
      </c>
      <c r="J38" s="1" t="str">
        <f t="shared" ca="1" si="12"/>
        <v>D</v>
      </c>
      <c r="K38" s="1" t="str">
        <f t="shared" ca="1" si="14"/>
        <v>A#DG</v>
      </c>
      <c r="L38" s="1" t="str">
        <f t="shared" ca="1" si="15"/>
        <v>G</v>
      </c>
      <c r="M38" s="1" t="str">
        <f t="shared" ca="1" si="16"/>
        <v>Bb</v>
      </c>
      <c r="N38" s="1" t="str">
        <f t="shared" ca="1" si="17"/>
        <v>D</v>
      </c>
      <c r="O38" s="1" t="str">
        <f t="shared" ca="1" si="18"/>
        <v>BbDG</v>
      </c>
    </row>
    <row r="39" spans="1:15">
      <c r="A39" s="1" t="s">
        <v>60</v>
      </c>
      <c r="B39" s="1">
        <v>6</v>
      </c>
      <c r="C39" s="1" t="s">
        <v>67</v>
      </c>
      <c r="D39" s="1">
        <v>3</v>
      </c>
      <c r="E39" s="1">
        <f t="shared" ca="1" si="19"/>
        <v>4</v>
      </c>
      <c r="F39" s="1">
        <f t="shared" ca="1" si="20"/>
        <v>7</v>
      </c>
      <c r="G39" s="1">
        <f t="shared" ca="1" si="21"/>
        <v>11</v>
      </c>
      <c r="H39" s="1" t="str">
        <f t="shared" ca="1" si="13"/>
        <v>A</v>
      </c>
      <c r="I39" s="1" t="str">
        <f t="shared" ca="1" si="11"/>
        <v>C</v>
      </c>
      <c r="J39" s="1" t="str">
        <f t="shared" ca="1" si="12"/>
        <v>E</v>
      </c>
      <c r="K39" s="1" t="str">
        <f t="shared" ca="1" si="14"/>
        <v>ACE</v>
      </c>
      <c r="L39" s="1" t="str">
        <f t="shared" ca="1" si="15"/>
        <v>A</v>
      </c>
      <c r="M39" s="1" t="str">
        <f t="shared" ca="1" si="16"/>
        <v>C</v>
      </c>
      <c r="N39" s="1" t="str">
        <f t="shared" ca="1" si="17"/>
        <v>E</v>
      </c>
      <c r="O39" s="1" t="str">
        <f t="shared" ca="1" si="18"/>
        <v>ACE</v>
      </c>
    </row>
    <row r="40" spans="1:15">
      <c r="A40" s="1" t="s">
        <v>60</v>
      </c>
      <c r="B40" s="1">
        <v>6</v>
      </c>
      <c r="C40" s="1" t="s">
        <v>67</v>
      </c>
      <c r="D40" s="1">
        <v>4</v>
      </c>
      <c r="E40" s="1">
        <f t="shared" ca="1" si="19"/>
        <v>5</v>
      </c>
      <c r="F40" s="1">
        <f t="shared" ca="1" si="20"/>
        <v>9</v>
      </c>
      <c r="G40" s="1">
        <f t="shared" ca="1" si="21"/>
        <v>0</v>
      </c>
      <c r="H40" s="1" t="str">
        <f t="shared" ca="1" si="13"/>
        <v>A#</v>
      </c>
      <c r="I40" s="1" t="str">
        <f t="shared" ca="1" si="11"/>
        <v>D</v>
      </c>
      <c r="J40" s="1" t="str">
        <f t="shared" ca="1" si="12"/>
        <v>F</v>
      </c>
      <c r="K40" s="1" t="str">
        <f t="shared" ca="1" si="14"/>
        <v>A#DF</v>
      </c>
      <c r="L40" s="1" t="str">
        <f t="shared" ca="1" si="15"/>
        <v>Bb</v>
      </c>
      <c r="M40" s="1" t="str">
        <f t="shared" ca="1" si="16"/>
        <v>D</v>
      </c>
      <c r="N40" s="1" t="str">
        <f t="shared" ca="1" si="17"/>
        <v>F</v>
      </c>
      <c r="O40" s="1" t="str">
        <f t="shared" ca="1" si="18"/>
        <v>BbDF</v>
      </c>
    </row>
    <row r="41" spans="1:15">
      <c r="A41" s="1" t="s">
        <v>60</v>
      </c>
      <c r="B41" s="1">
        <v>6</v>
      </c>
      <c r="C41" s="1" t="s">
        <v>67</v>
      </c>
      <c r="D41" s="1">
        <v>5</v>
      </c>
      <c r="E41" s="1">
        <f t="shared" ca="1" si="19"/>
        <v>7</v>
      </c>
      <c r="F41" s="1">
        <f t="shared" ca="1" si="20"/>
        <v>11</v>
      </c>
      <c r="G41" s="1">
        <f t="shared" ca="1" si="21"/>
        <v>2</v>
      </c>
      <c r="H41" s="1" t="str">
        <f t="shared" ca="1" si="13"/>
        <v>C</v>
      </c>
      <c r="I41" s="1" t="str">
        <f t="shared" ca="1" si="11"/>
        <v>E</v>
      </c>
      <c r="J41" s="1" t="str">
        <f t="shared" ca="1" si="12"/>
        <v>G</v>
      </c>
      <c r="K41" s="1" t="str">
        <f t="shared" ca="1" si="14"/>
        <v>CEG</v>
      </c>
      <c r="L41" s="1" t="str">
        <f t="shared" ca="1" si="15"/>
        <v>C</v>
      </c>
      <c r="M41" s="1" t="str">
        <f t="shared" ca="1" si="16"/>
        <v>E</v>
      </c>
      <c r="N41" s="1" t="str">
        <f t="shared" ca="1" si="17"/>
        <v>G</v>
      </c>
      <c r="O41" s="1" t="str">
        <f t="shared" ca="1" si="18"/>
        <v>CEG</v>
      </c>
    </row>
    <row r="42" spans="1:15">
      <c r="A42" s="1" t="s">
        <v>60</v>
      </c>
      <c r="B42" s="1">
        <v>6</v>
      </c>
      <c r="C42" s="1" t="s">
        <v>67</v>
      </c>
      <c r="D42" s="1">
        <v>6</v>
      </c>
      <c r="E42" s="1">
        <f t="shared" ca="1" si="19"/>
        <v>9</v>
      </c>
      <c r="F42" s="1">
        <f t="shared" ca="1" si="20"/>
        <v>0</v>
      </c>
      <c r="G42" s="1">
        <f t="shared" ca="1" si="21"/>
        <v>4</v>
      </c>
      <c r="H42" s="1" t="str">
        <f t="shared" ca="1" si="13"/>
        <v>D</v>
      </c>
      <c r="I42" s="1" t="str">
        <f t="shared" ca="1" si="11"/>
        <v>F</v>
      </c>
      <c r="J42" s="1" t="str">
        <f t="shared" ca="1" si="12"/>
        <v>A</v>
      </c>
      <c r="K42" s="1" t="str">
        <f t="shared" ca="1" si="14"/>
        <v>ADF</v>
      </c>
      <c r="L42" s="1" t="str">
        <f t="shared" ca="1" si="15"/>
        <v>D</v>
      </c>
      <c r="M42" s="1" t="str">
        <f t="shared" ca="1" si="16"/>
        <v>F</v>
      </c>
      <c r="N42" s="1" t="str">
        <f t="shared" ca="1" si="17"/>
        <v>A</v>
      </c>
      <c r="O42" s="1" t="str">
        <f t="shared" ca="1" si="18"/>
        <v>ADF</v>
      </c>
    </row>
    <row r="43" spans="1:15">
      <c r="A43" s="1" t="s">
        <v>60</v>
      </c>
      <c r="B43" s="1">
        <v>6</v>
      </c>
      <c r="C43" s="1" t="s">
        <v>67</v>
      </c>
      <c r="D43" s="1">
        <v>7</v>
      </c>
      <c r="E43" s="1">
        <f t="shared" ca="1" si="19"/>
        <v>11</v>
      </c>
      <c r="F43" s="1">
        <f t="shared" ca="1" si="20"/>
        <v>2</v>
      </c>
      <c r="G43" s="1">
        <f t="shared" ca="1" si="21"/>
        <v>5</v>
      </c>
      <c r="H43" s="1" t="str">
        <f t="shared" ca="1" si="13"/>
        <v>E</v>
      </c>
      <c r="I43" s="1" t="str">
        <f t="shared" ca="1" si="11"/>
        <v>G</v>
      </c>
      <c r="J43" s="1" t="str">
        <f t="shared" ca="1" si="12"/>
        <v>A#</v>
      </c>
      <c r="K43" s="1" t="str">
        <f t="shared" ca="1" si="14"/>
        <v>A#EG</v>
      </c>
      <c r="L43" s="1" t="str">
        <f t="shared" ca="1" si="15"/>
        <v>E</v>
      </c>
      <c r="M43" s="1" t="str">
        <f t="shared" ca="1" si="16"/>
        <v>G</v>
      </c>
      <c r="N43" s="1" t="str">
        <f t="shared" ca="1" si="17"/>
        <v>Bb</v>
      </c>
      <c r="O43" s="1" t="str">
        <f t="shared" ca="1" si="18"/>
        <v>BbEG</v>
      </c>
    </row>
    <row r="44" spans="1:15">
      <c r="A44" s="1" t="s">
        <v>61</v>
      </c>
      <c r="B44" s="1">
        <v>7</v>
      </c>
      <c r="C44" s="1" t="s">
        <v>67</v>
      </c>
      <c r="D44" s="1">
        <v>1</v>
      </c>
      <c r="E44" s="1">
        <f t="shared" ca="1" si="19"/>
        <v>0</v>
      </c>
      <c r="F44" s="1">
        <f t="shared" ca="1" si="20"/>
        <v>4</v>
      </c>
      <c r="G44" s="1">
        <f t="shared" ca="1" si="21"/>
        <v>7</v>
      </c>
      <c r="H44" s="1" t="str">
        <f t="shared" ca="1" si="13"/>
        <v>F#</v>
      </c>
      <c r="I44" s="1" t="str">
        <f t="shared" ca="1" si="11"/>
        <v>A#</v>
      </c>
      <c r="J44" s="1" t="str">
        <f t="shared" ca="1" si="12"/>
        <v>C#</v>
      </c>
      <c r="K44" s="1" t="str">
        <f t="shared" ca="1" si="14"/>
        <v>A#C#F#</v>
      </c>
      <c r="L44" s="1" t="str">
        <f t="shared" ca="1" si="15"/>
        <v>Gb</v>
      </c>
      <c r="M44" s="1" t="str">
        <f t="shared" ca="1" si="16"/>
        <v>Bb</v>
      </c>
      <c r="N44" s="1" t="str">
        <f t="shared" ca="1" si="17"/>
        <v>Db</v>
      </c>
      <c r="O44" s="1" t="str">
        <f t="shared" ca="1" si="18"/>
        <v>BbDbGb</v>
      </c>
    </row>
    <row r="45" spans="1:15">
      <c r="A45" s="1" t="s">
        <v>61</v>
      </c>
      <c r="B45" s="1">
        <v>7</v>
      </c>
      <c r="C45" s="1" t="s">
        <v>67</v>
      </c>
      <c r="D45" s="1">
        <v>2</v>
      </c>
      <c r="E45" s="1">
        <f t="shared" ca="1" si="19"/>
        <v>2</v>
      </c>
      <c r="F45" s="1">
        <f t="shared" ca="1" si="20"/>
        <v>5</v>
      </c>
      <c r="G45" s="1">
        <f t="shared" ca="1" si="21"/>
        <v>9</v>
      </c>
      <c r="H45" s="1" t="str">
        <f t="shared" ca="1" si="13"/>
        <v>G#</v>
      </c>
      <c r="I45" s="1" t="str">
        <f t="shared" ca="1" si="11"/>
        <v>B</v>
      </c>
      <c r="J45" s="1" t="str">
        <f t="shared" ca="1" si="12"/>
        <v>D#</v>
      </c>
      <c r="K45" s="1" t="str">
        <f t="shared" ca="1" si="14"/>
        <v>BD#G#</v>
      </c>
      <c r="L45" s="1" t="str">
        <f t="shared" ca="1" si="15"/>
        <v>Ab</v>
      </c>
      <c r="M45" s="1" t="str">
        <f t="shared" ca="1" si="16"/>
        <v>B</v>
      </c>
      <c r="N45" s="1" t="str">
        <f t="shared" ca="1" si="17"/>
        <v>Eb</v>
      </c>
      <c r="O45" s="1" t="str">
        <f t="shared" ca="1" si="18"/>
        <v>AbBEb</v>
      </c>
    </row>
    <row r="46" spans="1:15">
      <c r="A46" s="1" t="s">
        <v>61</v>
      </c>
      <c r="B46" s="1">
        <v>7</v>
      </c>
      <c r="C46" s="1" t="s">
        <v>67</v>
      </c>
      <c r="D46" s="1">
        <v>3</v>
      </c>
      <c r="E46" s="1">
        <f t="shared" ca="1" si="19"/>
        <v>4</v>
      </c>
      <c r="F46" s="1">
        <f t="shared" ca="1" si="20"/>
        <v>7</v>
      </c>
      <c r="G46" s="1">
        <f t="shared" ca="1" si="21"/>
        <v>11</v>
      </c>
      <c r="H46" s="1" t="str">
        <f t="shared" ca="1" si="13"/>
        <v>A#</v>
      </c>
      <c r="I46" s="1" t="str">
        <f t="shared" ca="1" si="11"/>
        <v>C#</v>
      </c>
      <c r="J46" s="1" t="str">
        <f t="shared" ca="1" si="12"/>
        <v>F</v>
      </c>
      <c r="K46" s="1" t="str">
        <f t="shared" ca="1" si="14"/>
        <v>A#C#F</v>
      </c>
      <c r="L46" s="1" t="str">
        <f t="shared" ca="1" si="15"/>
        <v>Bb</v>
      </c>
      <c r="M46" s="1" t="str">
        <f t="shared" ca="1" si="16"/>
        <v>Db</v>
      </c>
      <c r="N46" s="1" t="str">
        <f t="shared" ca="1" si="17"/>
        <v>F</v>
      </c>
      <c r="O46" s="1" t="str">
        <f t="shared" ca="1" si="18"/>
        <v>BbDbF</v>
      </c>
    </row>
    <row r="47" spans="1:15">
      <c r="A47" s="1" t="s">
        <v>61</v>
      </c>
      <c r="B47" s="1">
        <v>7</v>
      </c>
      <c r="C47" s="1" t="s">
        <v>67</v>
      </c>
      <c r="D47" s="1">
        <v>4</v>
      </c>
      <c r="E47" s="1">
        <f t="shared" ca="1" si="19"/>
        <v>5</v>
      </c>
      <c r="F47" s="1">
        <f t="shared" ca="1" si="20"/>
        <v>9</v>
      </c>
      <c r="G47" s="1">
        <f t="shared" ca="1" si="21"/>
        <v>0</v>
      </c>
      <c r="H47" s="1" t="str">
        <f t="shared" ca="1" si="13"/>
        <v>B</v>
      </c>
      <c r="I47" s="1" t="str">
        <f t="shared" ca="1" si="11"/>
        <v>D#</v>
      </c>
      <c r="J47" s="1" t="str">
        <f t="shared" ca="1" si="12"/>
        <v>F#</v>
      </c>
      <c r="K47" s="1" t="str">
        <f t="shared" ca="1" si="14"/>
        <v>BD#F#</v>
      </c>
      <c r="L47" s="1" t="str">
        <f t="shared" ca="1" si="15"/>
        <v>B</v>
      </c>
      <c r="M47" s="1" t="str">
        <f t="shared" ca="1" si="16"/>
        <v>Eb</v>
      </c>
      <c r="N47" s="1" t="str">
        <f t="shared" ca="1" si="17"/>
        <v>Gb</v>
      </c>
      <c r="O47" s="1" t="str">
        <f t="shared" ca="1" si="18"/>
        <v>BEbGb</v>
      </c>
    </row>
    <row r="48" spans="1:15">
      <c r="A48" s="1" t="s">
        <v>61</v>
      </c>
      <c r="B48" s="1">
        <v>7</v>
      </c>
      <c r="C48" s="1" t="s">
        <v>67</v>
      </c>
      <c r="D48" s="1">
        <v>5</v>
      </c>
      <c r="E48" s="1">
        <f t="shared" ca="1" si="19"/>
        <v>7</v>
      </c>
      <c r="F48" s="1">
        <f t="shared" ca="1" si="20"/>
        <v>11</v>
      </c>
      <c r="G48" s="1">
        <f t="shared" ca="1" si="21"/>
        <v>2</v>
      </c>
      <c r="H48" s="1" t="str">
        <f t="shared" ca="1" si="13"/>
        <v>C#</v>
      </c>
      <c r="I48" s="1" t="str">
        <f t="shared" ca="1" si="11"/>
        <v>F</v>
      </c>
      <c r="J48" s="1" t="str">
        <f t="shared" ca="1" si="12"/>
        <v>G#</v>
      </c>
      <c r="K48" s="1" t="str">
        <f t="shared" ca="1" si="14"/>
        <v>C#FG#</v>
      </c>
      <c r="L48" s="1" t="str">
        <f t="shared" ca="1" si="15"/>
        <v>Db</v>
      </c>
      <c r="M48" s="1" t="str">
        <f t="shared" ca="1" si="16"/>
        <v>F</v>
      </c>
      <c r="N48" s="1" t="str">
        <f t="shared" ca="1" si="17"/>
        <v>Ab</v>
      </c>
      <c r="O48" s="1" t="str">
        <f t="shared" ca="1" si="18"/>
        <v>AbDbF</v>
      </c>
    </row>
    <row r="49" spans="1:15">
      <c r="A49" s="1" t="s">
        <v>61</v>
      </c>
      <c r="B49" s="1">
        <v>7</v>
      </c>
      <c r="C49" s="1" t="s">
        <v>67</v>
      </c>
      <c r="D49" s="1">
        <v>6</v>
      </c>
      <c r="E49" s="1">
        <f t="shared" ca="1" si="19"/>
        <v>9</v>
      </c>
      <c r="F49" s="1">
        <f t="shared" ca="1" si="20"/>
        <v>0</v>
      </c>
      <c r="G49" s="1">
        <f t="shared" ca="1" si="21"/>
        <v>4</v>
      </c>
      <c r="H49" s="1" t="str">
        <f t="shared" ca="1" si="13"/>
        <v>D#</v>
      </c>
      <c r="I49" s="1" t="str">
        <f t="shared" ca="1" si="11"/>
        <v>F#</v>
      </c>
      <c r="J49" s="1" t="str">
        <f t="shared" ca="1" si="12"/>
        <v>A#</v>
      </c>
      <c r="K49" s="1" t="str">
        <f t="shared" ca="1" si="14"/>
        <v>A#D#F#</v>
      </c>
      <c r="L49" s="1" t="str">
        <f t="shared" ca="1" si="15"/>
        <v>Eb</v>
      </c>
      <c r="M49" s="1" t="str">
        <f t="shared" ca="1" si="16"/>
        <v>Gb</v>
      </c>
      <c r="N49" s="1" t="str">
        <f t="shared" ca="1" si="17"/>
        <v>Bb</v>
      </c>
      <c r="O49" s="1" t="str">
        <f t="shared" ca="1" si="18"/>
        <v>BbEbGb</v>
      </c>
    </row>
    <row r="50" spans="1:15">
      <c r="A50" s="1" t="s">
        <v>61</v>
      </c>
      <c r="B50" s="1">
        <v>7</v>
      </c>
      <c r="C50" s="1" t="s">
        <v>67</v>
      </c>
      <c r="D50" s="1">
        <v>7</v>
      </c>
      <c r="E50" s="1">
        <f t="shared" ca="1" si="19"/>
        <v>11</v>
      </c>
      <c r="F50" s="1">
        <f t="shared" ca="1" si="20"/>
        <v>2</v>
      </c>
      <c r="G50" s="1">
        <f t="shared" ca="1" si="21"/>
        <v>5</v>
      </c>
      <c r="H50" s="1" t="str">
        <f t="shared" ca="1" si="13"/>
        <v>F</v>
      </c>
      <c r="I50" s="1" t="str">
        <f t="shared" ca="1" si="11"/>
        <v>G#</v>
      </c>
      <c r="J50" s="1" t="str">
        <f t="shared" ca="1" si="12"/>
        <v>B</v>
      </c>
      <c r="K50" s="1" t="str">
        <f t="shared" ca="1" si="14"/>
        <v>BFG#</v>
      </c>
      <c r="L50" s="1" t="str">
        <f t="shared" ca="1" si="15"/>
        <v>F</v>
      </c>
      <c r="M50" s="1" t="str">
        <f t="shared" ca="1" si="16"/>
        <v>Ab</v>
      </c>
      <c r="N50" s="1" t="str">
        <f t="shared" ca="1" si="17"/>
        <v>B</v>
      </c>
      <c r="O50" s="1" t="str">
        <f t="shared" ca="1" si="18"/>
        <v>AbBF</v>
      </c>
    </row>
    <row r="51" spans="1:15">
      <c r="A51" s="1" t="s">
        <v>62</v>
      </c>
      <c r="B51" s="1">
        <v>8</v>
      </c>
      <c r="C51" s="1" t="s">
        <v>67</v>
      </c>
      <c r="D51" s="1">
        <v>1</v>
      </c>
      <c r="E51" s="1">
        <f t="shared" ca="1" si="19"/>
        <v>0</v>
      </c>
      <c r="F51" s="1">
        <f t="shared" ca="1" si="20"/>
        <v>4</v>
      </c>
      <c r="G51" s="1">
        <f t="shared" ca="1" si="21"/>
        <v>7</v>
      </c>
      <c r="H51" s="1" t="str">
        <f t="shared" ca="1" si="13"/>
        <v>G</v>
      </c>
      <c r="I51" s="1" t="str">
        <f t="shared" ca="1" si="11"/>
        <v>B</v>
      </c>
      <c r="J51" s="1" t="str">
        <f t="shared" ca="1" si="12"/>
        <v>D</v>
      </c>
      <c r="K51" s="1" t="str">
        <f t="shared" ca="1" si="14"/>
        <v>BDG</v>
      </c>
      <c r="L51" s="1" t="str">
        <f t="shared" ca="1" si="15"/>
        <v>G</v>
      </c>
      <c r="M51" s="1" t="str">
        <f t="shared" ca="1" si="16"/>
        <v>B</v>
      </c>
      <c r="N51" s="1" t="str">
        <f t="shared" ca="1" si="17"/>
        <v>D</v>
      </c>
      <c r="O51" s="1" t="str">
        <f t="shared" ca="1" si="18"/>
        <v>BDG</v>
      </c>
    </row>
    <row r="52" spans="1:15">
      <c r="A52" s="1" t="s">
        <v>62</v>
      </c>
      <c r="B52" s="1">
        <v>8</v>
      </c>
      <c r="C52" s="1" t="s">
        <v>67</v>
      </c>
      <c r="D52" s="1">
        <v>2</v>
      </c>
      <c r="E52" s="1">
        <f t="shared" ca="1" si="19"/>
        <v>2</v>
      </c>
      <c r="F52" s="1">
        <f t="shared" ca="1" si="20"/>
        <v>5</v>
      </c>
      <c r="G52" s="1">
        <f t="shared" ca="1" si="21"/>
        <v>9</v>
      </c>
      <c r="H52" s="1" t="str">
        <f t="shared" ca="1" si="13"/>
        <v>A</v>
      </c>
      <c r="I52" s="1" t="str">
        <f t="shared" ca="1" si="11"/>
        <v>C</v>
      </c>
      <c r="J52" s="1" t="str">
        <f t="shared" ca="1" si="12"/>
        <v>E</v>
      </c>
      <c r="K52" s="1" t="str">
        <f t="shared" ca="1" si="14"/>
        <v>ACE</v>
      </c>
      <c r="L52" s="1" t="str">
        <f t="shared" ca="1" si="15"/>
        <v>A</v>
      </c>
      <c r="M52" s="1" t="str">
        <f t="shared" ca="1" si="16"/>
        <v>C</v>
      </c>
      <c r="N52" s="1" t="str">
        <f t="shared" ca="1" si="17"/>
        <v>E</v>
      </c>
      <c r="O52" s="1" t="str">
        <f t="shared" ca="1" si="18"/>
        <v>ACE</v>
      </c>
    </row>
    <row r="53" spans="1:15">
      <c r="A53" s="1" t="s">
        <v>62</v>
      </c>
      <c r="B53" s="1">
        <v>8</v>
      </c>
      <c r="C53" s="1" t="s">
        <v>67</v>
      </c>
      <c r="D53" s="1">
        <v>3</v>
      </c>
      <c r="E53" s="1">
        <f t="shared" ca="1" si="19"/>
        <v>4</v>
      </c>
      <c r="F53" s="1">
        <f t="shared" ca="1" si="20"/>
        <v>7</v>
      </c>
      <c r="G53" s="1">
        <f t="shared" ca="1" si="21"/>
        <v>11</v>
      </c>
      <c r="H53" s="1" t="str">
        <f t="shared" ca="1" si="13"/>
        <v>B</v>
      </c>
      <c r="I53" s="1" t="str">
        <f t="shared" ca="1" si="11"/>
        <v>D</v>
      </c>
      <c r="J53" s="1" t="str">
        <f t="shared" ca="1" si="12"/>
        <v>F#</v>
      </c>
      <c r="K53" s="1" t="str">
        <f t="shared" ca="1" si="14"/>
        <v>BDF#</v>
      </c>
      <c r="L53" s="1" t="str">
        <f t="shared" ca="1" si="15"/>
        <v>B</v>
      </c>
      <c r="M53" s="1" t="str">
        <f t="shared" ca="1" si="16"/>
        <v>D</v>
      </c>
      <c r="N53" s="1" t="str">
        <f t="shared" ca="1" si="17"/>
        <v>Gb</v>
      </c>
      <c r="O53" s="1" t="str">
        <f t="shared" ca="1" si="18"/>
        <v>BDGb</v>
      </c>
    </row>
    <row r="54" spans="1:15">
      <c r="A54" s="1" t="s">
        <v>62</v>
      </c>
      <c r="B54" s="1">
        <v>8</v>
      </c>
      <c r="C54" s="1" t="s">
        <v>67</v>
      </c>
      <c r="D54" s="1">
        <v>4</v>
      </c>
      <c r="E54" s="1">
        <f t="shared" ca="1" si="19"/>
        <v>5</v>
      </c>
      <c r="F54" s="1">
        <f t="shared" ca="1" si="20"/>
        <v>9</v>
      </c>
      <c r="G54" s="1">
        <f t="shared" ca="1" si="21"/>
        <v>0</v>
      </c>
      <c r="H54" s="1" t="str">
        <f t="shared" ca="1" si="13"/>
        <v>C</v>
      </c>
      <c r="I54" s="1" t="str">
        <f t="shared" ca="1" si="11"/>
        <v>E</v>
      </c>
      <c r="J54" s="1" t="str">
        <f t="shared" ca="1" si="12"/>
        <v>G</v>
      </c>
      <c r="K54" s="1" t="str">
        <f t="shared" ca="1" si="14"/>
        <v>CEG</v>
      </c>
      <c r="L54" s="1" t="str">
        <f t="shared" ca="1" si="15"/>
        <v>C</v>
      </c>
      <c r="M54" s="1" t="str">
        <f t="shared" ca="1" si="16"/>
        <v>E</v>
      </c>
      <c r="N54" s="1" t="str">
        <f t="shared" ca="1" si="17"/>
        <v>G</v>
      </c>
      <c r="O54" s="1" t="str">
        <f t="shared" ca="1" si="18"/>
        <v>CEG</v>
      </c>
    </row>
    <row r="55" spans="1:15">
      <c r="A55" s="1" t="s">
        <v>62</v>
      </c>
      <c r="B55" s="1">
        <v>8</v>
      </c>
      <c r="C55" s="1" t="s">
        <v>67</v>
      </c>
      <c r="D55" s="1">
        <v>5</v>
      </c>
      <c r="E55" s="1">
        <f t="shared" ca="1" si="19"/>
        <v>7</v>
      </c>
      <c r="F55" s="1">
        <f t="shared" ca="1" si="20"/>
        <v>11</v>
      </c>
      <c r="G55" s="1">
        <f t="shared" ca="1" si="21"/>
        <v>2</v>
      </c>
      <c r="H55" s="1" t="str">
        <f t="shared" ca="1" si="13"/>
        <v>D</v>
      </c>
      <c r="I55" s="1" t="str">
        <f t="shared" ca="1" si="11"/>
        <v>F#</v>
      </c>
      <c r="J55" s="1" t="str">
        <f t="shared" ca="1" si="12"/>
        <v>A</v>
      </c>
      <c r="K55" s="1" t="str">
        <f t="shared" ca="1" si="14"/>
        <v>ADF#</v>
      </c>
      <c r="L55" s="1" t="str">
        <f t="shared" ca="1" si="15"/>
        <v>D</v>
      </c>
      <c r="M55" s="1" t="str">
        <f t="shared" ca="1" si="16"/>
        <v>Gb</v>
      </c>
      <c r="N55" s="1" t="str">
        <f t="shared" ca="1" si="17"/>
        <v>A</v>
      </c>
      <c r="O55" s="1" t="str">
        <f t="shared" ca="1" si="18"/>
        <v>ADGb</v>
      </c>
    </row>
    <row r="56" spans="1:15">
      <c r="A56" s="1" t="s">
        <v>62</v>
      </c>
      <c r="B56" s="1">
        <v>8</v>
      </c>
      <c r="C56" s="1" t="s">
        <v>67</v>
      </c>
      <c r="D56" s="1">
        <v>6</v>
      </c>
      <c r="E56" s="1">
        <f t="shared" ca="1" si="19"/>
        <v>9</v>
      </c>
      <c r="F56" s="1">
        <f t="shared" ca="1" si="20"/>
        <v>0</v>
      </c>
      <c r="G56" s="1">
        <f t="shared" ca="1" si="21"/>
        <v>4</v>
      </c>
      <c r="H56" s="1" t="str">
        <f t="shared" ca="1" si="13"/>
        <v>E</v>
      </c>
      <c r="I56" s="1" t="str">
        <f t="shared" ca="1" si="11"/>
        <v>G</v>
      </c>
      <c r="J56" s="1" t="str">
        <f t="shared" ca="1" si="12"/>
        <v>B</v>
      </c>
      <c r="K56" s="1" t="str">
        <f t="shared" ca="1" si="14"/>
        <v>BEG</v>
      </c>
      <c r="L56" s="1" t="str">
        <f t="shared" ca="1" si="15"/>
        <v>E</v>
      </c>
      <c r="M56" s="1" t="str">
        <f t="shared" ca="1" si="16"/>
        <v>G</v>
      </c>
      <c r="N56" s="1" t="str">
        <f t="shared" ca="1" si="17"/>
        <v>B</v>
      </c>
      <c r="O56" s="1" t="str">
        <f t="shared" ca="1" si="18"/>
        <v>BEG</v>
      </c>
    </row>
    <row r="57" spans="1:15">
      <c r="A57" s="1" t="s">
        <v>62</v>
      </c>
      <c r="B57" s="1">
        <v>8</v>
      </c>
      <c r="C57" s="1" t="s">
        <v>67</v>
      </c>
      <c r="D57" s="1">
        <v>7</v>
      </c>
      <c r="E57" s="1">
        <f t="shared" ca="1" si="19"/>
        <v>11</v>
      </c>
      <c r="F57" s="1">
        <f t="shared" ca="1" si="20"/>
        <v>2</v>
      </c>
      <c r="G57" s="1">
        <f t="shared" ca="1" si="21"/>
        <v>5</v>
      </c>
      <c r="H57" s="1" t="str">
        <f t="shared" ca="1" si="13"/>
        <v>F#</v>
      </c>
      <c r="I57" s="1" t="str">
        <f t="shared" ca="1" si="11"/>
        <v>A</v>
      </c>
      <c r="J57" s="1" t="str">
        <f t="shared" ca="1" si="12"/>
        <v>C</v>
      </c>
      <c r="K57" s="1" t="str">
        <f t="shared" ca="1" si="14"/>
        <v>ACF#</v>
      </c>
      <c r="L57" s="1" t="str">
        <f t="shared" ca="1" si="15"/>
        <v>Gb</v>
      </c>
      <c r="M57" s="1" t="str">
        <f t="shared" ca="1" si="16"/>
        <v>A</v>
      </c>
      <c r="N57" s="1" t="str">
        <f t="shared" ca="1" si="17"/>
        <v>C</v>
      </c>
      <c r="O57" s="1" t="str">
        <f t="shared" ca="1" si="18"/>
        <v>ACGb</v>
      </c>
    </row>
    <row r="58" spans="1:15">
      <c r="A58" s="1" t="s">
        <v>63</v>
      </c>
      <c r="B58" s="1">
        <v>9</v>
      </c>
      <c r="C58" s="1" t="s">
        <v>67</v>
      </c>
      <c r="D58" s="1">
        <v>1</v>
      </c>
      <c r="E58" s="1">
        <f t="shared" ca="1" si="19"/>
        <v>0</v>
      </c>
      <c r="F58" s="1">
        <f t="shared" ca="1" si="20"/>
        <v>4</v>
      </c>
      <c r="G58" s="1">
        <f t="shared" ca="1" si="21"/>
        <v>7</v>
      </c>
      <c r="H58" s="1" t="str">
        <f t="shared" ca="1" si="13"/>
        <v>G#</v>
      </c>
      <c r="I58" s="1" t="str">
        <f t="shared" ca="1" si="11"/>
        <v>C</v>
      </c>
      <c r="J58" s="1" t="str">
        <f t="shared" ca="1" si="12"/>
        <v>D#</v>
      </c>
      <c r="K58" s="1" t="str">
        <f t="shared" ca="1" si="14"/>
        <v>CD#G#</v>
      </c>
      <c r="L58" s="1" t="str">
        <f t="shared" ca="1" si="15"/>
        <v>Ab</v>
      </c>
      <c r="M58" s="1" t="str">
        <f t="shared" ca="1" si="16"/>
        <v>C</v>
      </c>
      <c r="N58" s="1" t="str">
        <f t="shared" ca="1" si="17"/>
        <v>Eb</v>
      </c>
      <c r="O58" s="1" t="str">
        <f t="shared" ca="1" si="18"/>
        <v>AbCEb</v>
      </c>
    </row>
    <row r="59" spans="1:15">
      <c r="A59" s="1" t="s">
        <v>63</v>
      </c>
      <c r="B59" s="1">
        <v>9</v>
      </c>
      <c r="C59" s="1" t="s">
        <v>67</v>
      </c>
      <c r="D59" s="1">
        <v>2</v>
      </c>
      <c r="E59" s="1">
        <f t="shared" ca="1" si="19"/>
        <v>2</v>
      </c>
      <c r="F59" s="1">
        <f t="shared" ca="1" si="20"/>
        <v>5</v>
      </c>
      <c r="G59" s="1">
        <f t="shared" ca="1" si="21"/>
        <v>9</v>
      </c>
      <c r="H59" s="1" t="str">
        <f t="shared" ca="1" si="13"/>
        <v>A#</v>
      </c>
      <c r="I59" s="1" t="str">
        <f t="shared" ca="1" si="11"/>
        <v>C#</v>
      </c>
      <c r="J59" s="1" t="str">
        <f t="shared" ca="1" si="12"/>
        <v>F</v>
      </c>
      <c r="K59" s="1" t="str">
        <f t="shared" ca="1" si="14"/>
        <v>A#C#F</v>
      </c>
      <c r="L59" s="1" t="str">
        <f t="shared" ca="1" si="15"/>
        <v>Bb</v>
      </c>
      <c r="M59" s="1" t="str">
        <f t="shared" ca="1" si="16"/>
        <v>Db</v>
      </c>
      <c r="N59" s="1" t="str">
        <f t="shared" ca="1" si="17"/>
        <v>F</v>
      </c>
      <c r="O59" s="1" t="str">
        <f t="shared" ca="1" si="18"/>
        <v>BbDbF</v>
      </c>
    </row>
    <row r="60" spans="1:15">
      <c r="A60" s="1" t="s">
        <v>63</v>
      </c>
      <c r="B60" s="1">
        <v>9</v>
      </c>
      <c r="C60" s="1" t="s">
        <v>67</v>
      </c>
      <c r="D60" s="1">
        <v>3</v>
      </c>
      <c r="E60" s="1">
        <f t="shared" ca="1" si="19"/>
        <v>4</v>
      </c>
      <c r="F60" s="1">
        <f t="shared" ca="1" si="20"/>
        <v>7</v>
      </c>
      <c r="G60" s="1">
        <f t="shared" ca="1" si="21"/>
        <v>11</v>
      </c>
      <c r="H60" s="1" t="str">
        <f t="shared" ca="1" si="13"/>
        <v>C</v>
      </c>
      <c r="I60" s="1" t="str">
        <f t="shared" ca="1" si="11"/>
        <v>D#</v>
      </c>
      <c r="J60" s="1" t="str">
        <f t="shared" ca="1" si="12"/>
        <v>G</v>
      </c>
      <c r="K60" s="1" t="str">
        <f t="shared" ca="1" si="14"/>
        <v>CD#G</v>
      </c>
      <c r="L60" s="1" t="str">
        <f t="shared" ca="1" si="15"/>
        <v>C</v>
      </c>
      <c r="M60" s="1" t="str">
        <f t="shared" ca="1" si="16"/>
        <v>Eb</v>
      </c>
      <c r="N60" s="1" t="str">
        <f t="shared" ca="1" si="17"/>
        <v>G</v>
      </c>
      <c r="O60" s="1" t="str">
        <f t="shared" ca="1" si="18"/>
        <v>CEbG</v>
      </c>
    </row>
    <row r="61" spans="1:15">
      <c r="A61" s="1" t="s">
        <v>63</v>
      </c>
      <c r="B61" s="1">
        <v>9</v>
      </c>
      <c r="C61" s="1" t="s">
        <v>67</v>
      </c>
      <c r="D61" s="1">
        <v>4</v>
      </c>
      <c r="E61" s="1">
        <f t="shared" ca="1" si="19"/>
        <v>5</v>
      </c>
      <c r="F61" s="1">
        <f t="shared" ca="1" si="20"/>
        <v>9</v>
      </c>
      <c r="G61" s="1">
        <f t="shared" ca="1" si="21"/>
        <v>0</v>
      </c>
      <c r="H61" s="1" t="str">
        <f t="shared" ca="1" si="13"/>
        <v>C#</v>
      </c>
      <c r="I61" s="1" t="str">
        <f t="shared" ca="1" si="11"/>
        <v>F</v>
      </c>
      <c r="J61" s="1" t="str">
        <f t="shared" ca="1" si="12"/>
        <v>G#</v>
      </c>
      <c r="K61" s="1" t="str">
        <f t="shared" ca="1" si="14"/>
        <v>C#FG#</v>
      </c>
      <c r="L61" s="1" t="str">
        <f t="shared" ca="1" si="15"/>
        <v>Db</v>
      </c>
      <c r="M61" s="1" t="str">
        <f t="shared" ca="1" si="16"/>
        <v>F</v>
      </c>
      <c r="N61" s="1" t="str">
        <f t="shared" ca="1" si="17"/>
        <v>Ab</v>
      </c>
      <c r="O61" s="1" t="str">
        <f t="shared" ca="1" si="18"/>
        <v>AbDbF</v>
      </c>
    </row>
    <row r="62" spans="1:15">
      <c r="A62" s="1" t="s">
        <v>63</v>
      </c>
      <c r="B62" s="1">
        <v>9</v>
      </c>
      <c r="C62" s="1" t="s">
        <v>67</v>
      </c>
      <c r="D62" s="1">
        <v>5</v>
      </c>
      <c r="E62" s="1">
        <f t="shared" ca="1" si="19"/>
        <v>7</v>
      </c>
      <c r="F62" s="1">
        <f t="shared" ca="1" si="20"/>
        <v>11</v>
      </c>
      <c r="G62" s="1">
        <f t="shared" ca="1" si="21"/>
        <v>2</v>
      </c>
      <c r="H62" s="1" t="str">
        <f t="shared" ca="1" si="13"/>
        <v>D#</v>
      </c>
      <c r="I62" s="1" t="str">
        <f t="shared" ca="1" si="11"/>
        <v>G</v>
      </c>
      <c r="J62" s="1" t="str">
        <f t="shared" ca="1" si="12"/>
        <v>A#</v>
      </c>
      <c r="K62" s="1" t="str">
        <f t="shared" ca="1" si="14"/>
        <v>A#D#G</v>
      </c>
      <c r="L62" s="1" t="str">
        <f t="shared" ca="1" si="15"/>
        <v>Eb</v>
      </c>
      <c r="M62" s="1" t="str">
        <f t="shared" ca="1" si="16"/>
        <v>G</v>
      </c>
      <c r="N62" s="1" t="str">
        <f t="shared" ca="1" si="17"/>
        <v>Bb</v>
      </c>
      <c r="O62" s="1" t="str">
        <f t="shared" ca="1" si="18"/>
        <v>BbEbG</v>
      </c>
    </row>
    <row r="63" spans="1:15">
      <c r="A63" s="1" t="s">
        <v>63</v>
      </c>
      <c r="B63" s="1">
        <v>9</v>
      </c>
      <c r="C63" s="1" t="s">
        <v>67</v>
      </c>
      <c r="D63" s="1">
        <v>6</v>
      </c>
      <c r="E63" s="1">
        <f t="shared" ca="1" si="19"/>
        <v>9</v>
      </c>
      <c r="F63" s="1">
        <f t="shared" ca="1" si="20"/>
        <v>0</v>
      </c>
      <c r="G63" s="1">
        <f t="shared" ca="1" si="21"/>
        <v>4</v>
      </c>
      <c r="H63" s="1" t="str">
        <f t="shared" ca="1" si="13"/>
        <v>F</v>
      </c>
      <c r="I63" s="1" t="str">
        <f t="shared" ca="1" si="11"/>
        <v>G#</v>
      </c>
      <c r="J63" s="1" t="str">
        <f t="shared" ca="1" si="12"/>
        <v>C</v>
      </c>
      <c r="K63" s="1" t="str">
        <f t="shared" ca="1" si="14"/>
        <v>CFG#</v>
      </c>
      <c r="L63" s="1" t="str">
        <f t="shared" ca="1" si="15"/>
        <v>F</v>
      </c>
      <c r="M63" s="1" t="str">
        <f t="shared" ca="1" si="16"/>
        <v>Ab</v>
      </c>
      <c r="N63" s="1" t="str">
        <f t="shared" ca="1" si="17"/>
        <v>C</v>
      </c>
      <c r="O63" s="1" t="str">
        <f t="shared" ca="1" si="18"/>
        <v>AbCF</v>
      </c>
    </row>
    <row r="64" spans="1:15">
      <c r="A64" s="1" t="s">
        <v>63</v>
      </c>
      <c r="B64" s="1">
        <v>9</v>
      </c>
      <c r="C64" s="1" t="s">
        <v>67</v>
      </c>
      <c r="D64" s="1">
        <v>7</v>
      </c>
      <c r="E64" s="1">
        <f t="shared" ca="1" si="19"/>
        <v>11</v>
      </c>
      <c r="F64" s="1">
        <f t="shared" ca="1" si="20"/>
        <v>2</v>
      </c>
      <c r="G64" s="1">
        <f t="shared" ca="1" si="21"/>
        <v>5</v>
      </c>
      <c r="H64" s="1" t="str">
        <f t="shared" ca="1" si="13"/>
        <v>G</v>
      </c>
      <c r="I64" s="1" t="str">
        <f t="shared" ca="1" si="11"/>
        <v>A#</v>
      </c>
      <c r="J64" s="1" t="str">
        <f t="shared" ca="1" si="12"/>
        <v>C#</v>
      </c>
      <c r="K64" s="1" t="str">
        <f t="shared" ca="1" si="14"/>
        <v>A#C#G</v>
      </c>
      <c r="L64" s="1" t="str">
        <f t="shared" ca="1" si="15"/>
        <v>G</v>
      </c>
      <c r="M64" s="1" t="str">
        <f t="shared" ca="1" si="16"/>
        <v>Bb</v>
      </c>
      <c r="N64" s="1" t="str">
        <f t="shared" ca="1" si="17"/>
        <v>Db</v>
      </c>
      <c r="O64" s="1" t="str">
        <f t="shared" ca="1" si="18"/>
        <v>BbDbG</v>
      </c>
    </row>
    <row r="65" spans="1:15">
      <c r="A65" s="1" t="s">
        <v>64</v>
      </c>
      <c r="B65" s="1">
        <v>10</v>
      </c>
      <c r="C65" s="1" t="s">
        <v>67</v>
      </c>
      <c r="D65" s="1">
        <v>1</v>
      </c>
      <c r="E65" s="1">
        <f t="shared" ca="1" si="19"/>
        <v>0</v>
      </c>
      <c r="F65" s="1">
        <f t="shared" ca="1" si="20"/>
        <v>4</v>
      </c>
      <c r="G65" s="1">
        <f t="shared" ca="1" si="21"/>
        <v>7</v>
      </c>
      <c r="H65" s="1" t="str">
        <f t="shared" ca="1" si="13"/>
        <v>A</v>
      </c>
      <c r="I65" s="1" t="str">
        <f t="shared" ca="1" si="11"/>
        <v>C#</v>
      </c>
      <c r="J65" s="1" t="str">
        <f t="shared" ca="1" si="12"/>
        <v>E</v>
      </c>
      <c r="K65" s="1" t="str">
        <f t="shared" ca="1" si="14"/>
        <v>AC#E</v>
      </c>
      <c r="L65" s="1" t="str">
        <f t="shared" ca="1" si="15"/>
        <v>A</v>
      </c>
      <c r="M65" s="1" t="str">
        <f t="shared" ca="1" si="16"/>
        <v>Db</v>
      </c>
      <c r="N65" s="1" t="str">
        <f t="shared" ca="1" si="17"/>
        <v>E</v>
      </c>
      <c r="O65" s="1" t="str">
        <f t="shared" ca="1" si="18"/>
        <v>ADbE</v>
      </c>
    </row>
    <row r="66" spans="1:15">
      <c r="A66" s="1" t="s">
        <v>64</v>
      </c>
      <c r="B66" s="1">
        <v>10</v>
      </c>
      <c r="C66" s="1" t="s">
        <v>67</v>
      </c>
      <c r="D66" s="1">
        <v>2</v>
      </c>
      <c r="E66" s="1">
        <f t="shared" ref="E66:E85" ca="1" si="22">INDIRECT("'Scales'!$B" &amp; IF($D66 &lt;=7, $D66+1, $D66-6))</f>
        <v>2</v>
      </c>
      <c r="F66" s="1">
        <f t="shared" ref="F66:F85" ca="1" si="23">INDIRECT("'Scales'!$B" &amp; IF($D66 &lt;=5, $D66+3, $D66-4))</f>
        <v>5</v>
      </c>
      <c r="G66" s="1">
        <f t="shared" ref="G66:G85" ca="1" si="24">INDIRECT("'Scales'!$B" &amp; IF($D66 &lt;=3, $D66+5, $D66-2))</f>
        <v>9</v>
      </c>
      <c r="H66" s="1" t="str">
        <f t="shared" ca="1" si="13"/>
        <v>B</v>
      </c>
      <c r="I66" s="1" t="str">
        <f t="shared" ca="1" si="11"/>
        <v>D</v>
      </c>
      <c r="J66" s="1" t="str">
        <f t="shared" ca="1" si="12"/>
        <v>F#</v>
      </c>
      <c r="K66" s="1" t="str">
        <f t="shared" ca="1" si="14"/>
        <v>BDF#</v>
      </c>
      <c r="L66" s="1" t="str">
        <f t="shared" ca="1" si="15"/>
        <v>B</v>
      </c>
      <c r="M66" s="1" t="str">
        <f t="shared" ca="1" si="16"/>
        <v>D</v>
      </c>
      <c r="N66" s="1" t="str">
        <f t="shared" ca="1" si="17"/>
        <v>Gb</v>
      </c>
      <c r="O66" s="1" t="str">
        <f t="shared" ca="1" si="18"/>
        <v>BDGb</v>
      </c>
    </row>
    <row r="67" spans="1:15">
      <c r="A67" s="1" t="s">
        <v>64</v>
      </c>
      <c r="B67" s="1">
        <v>10</v>
      </c>
      <c r="C67" s="1" t="s">
        <v>67</v>
      </c>
      <c r="D67" s="1">
        <v>3</v>
      </c>
      <c r="E67" s="1">
        <f t="shared" ca="1" si="22"/>
        <v>4</v>
      </c>
      <c r="F67" s="1">
        <f t="shared" ca="1" si="23"/>
        <v>7</v>
      </c>
      <c r="G67" s="1">
        <f t="shared" ca="1" si="24"/>
        <v>11</v>
      </c>
      <c r="H67" s="1" t="str">
        <f t="shared" ca="1" si="13"/>
        <v>C#</v>
      </c>
      <c r="I67" s="1" t="str">
        <f t="shared" ca="1" si="11"/>
        <v>E</v>
      </c>
      <c r="J67" s="1" t="str">
        <f t="shared" ca="1" si="12"/>
        <v>G#</v>
      </c>
      <c r="K67" s="1" t="str">
        <f t="shared" ca="1" si="14"/>
        <v>C#EG#</v>
      </c>
      <c r="L67" s="1" t="str">
        <f t="shared" ca="1" si="15"/>
        <v>Db</v>
      </c>
      <c r="M67" s="1" t="str">
        <f t="shared" ca="1" si="16"/>
        <v>E</v>
      </c>
      <c r="N67" s="1" t="str">
        <f t="shared" ca="1" si="17"/>
        <v>Ab</v>
      </c>
      <c r="O67" s="1" t="str">
        <f t="shared" ca="1" si="18"/>
        <v>AbDbE</v>
      </c>
    </row>
    <row r="68" spans="1:15">
      <c r="A68" s="1" t="s">
        <v>64</v>
      </c>
      <c r="B68" s="1">
        <v>10</v>
      </c>
      <c r="C68" s="1" t="s">
        <v>67</v>
      </c>
      <c r="D68" s="1">
        <v>4</v>
      </c>
      <c r="E68" s="1">
        <f t="shared" ca="1" si="22"/>
        <v>5</v>
      </c>
      <c r="F68" s="1">
        <f t="shared" ca="1" si="23"/>
        <v>9</v>
      </c>
      <c r="G68" s="1">
        <f t="shared" ca="1" si="24"/>
        <v>0</v>
      </c>
      <c r="H68" s="1" t="str">
        <f t="shared" ca="1" si="13"/>
        <v>D</v>
      </c>
      <c r="I68" s="1" t="str">
        <f t="shared" ca="1" si="11"/>
        <v>F#</v>
      </c>
      <c r="J68" s="1" t="str">
        <f t="shared" ca="1" si="12"/>
        <v>A</v>
      </c>
      <c r="K68" s="1" t="str">
        <f t="shared" ca="1" si="14"/>
        <v>ADF#</v>
      </c>
      <c r="L68" s="1" t="str">
        <f t="shared" ca="1" si="15"/>
        <v>D</v>
      </c>
      <c r="M68" s="1" t="str">
        <f t="shared" ca="1" si="16"/>
        <v>Gb</v>
      </c>
      <c r="N68" s="1" t="str">
        <f t="shared" ca="1" si="17"/>
        <v>A</v>
      </c>
      <c r="O68" s="1" t="str">
        <f t="shared" ca="1" si="18"/>
        <v>ADGb</v>
      </c>
    </row>
    <row r="69" spans="1:15">
      <c r="A69" s="1" t="s">
        <v>64</v>
      </c>
      <c r="B69" s="1">
        <v>10</v>
      </c>
      <c r="C69" s="1" t="s">
        <v>67</v>
      </c>
      <c r="D69" s="1">
        <v>5</v>
      </c>
      <c r="E69" s="1">
        <f t="shared" ca="1" si="22"/>
        <v>7</v>
      </c>
      <c r="F69" s="1">
        <f t="shared" ca="1" si="23"/>
        <v>11</v>
      </c>
      <c r="G69" s="1">
        <f t="shared" ca="1" si="24"/>
        <v>2</v>
      </c>
      <c r="H69" s="1" t="str">
        <f t="shared" ca="1" si="13"/>
        <v>E</v>
      </c>
      <c r="I69" s="1" t="str">
        <f t="shared" ca="1" si="11"/>
        <v>G#</v>
      </c>
      <c r="J69" s="1" t="str">
        <f t="shared" ca="1" si="12"/>
        <v>B</v>
      </c>
      <c r="K69" s="1" t="str">
        <f t="shared" ca="1" si="14"/>
        <v>BEG#</v>
      </c>
      <c r="L69" s="1" t="str">
        <f t="shared" ca="1" si="15"/>
        <v>E</v>
      </c>
      <c r="M69" s="1" t="str">
        <f t="shared" ca="1" si="16"/>
        <v>Ab</v>
      </c>
      <c r="N69" s="1" t="str">
        <f t="shared" ca="1" si="17"/>
        <v>B</v>
      </c>
      <c r="O69" s="1" t="str">
        <f t="shared" ca="1" si="18"/>
        <v>AbBE</v>
      </c>
    </row>
    <row r="70" spans="1:15">
      <c r="A70" s="1" t="s">
        <v>64</v>
      </c>
      <c r="B70" s="1">
        <v>10</v>
      </c>
      <c r="C70" s="1" t="s">
        <v>67</v>
      </c>
      <c r="D70" s="1">
        <v>6</v>
      </c>
      <c r="E70" s="1">
        <f t="shared" ca="1" si="22"/>
        <v>9</v>
      </c>
      <c r="F70" s="1">
        <f t="shared" ca="1" si="23"/>
        <v>0</v>
      </c>
      <c r="G70" s="1">
        <f t="shared" ca="1" si="24"/>
        <v>4</v>
      </c>
      <c r="H70" s="1" t="str">
        <f t="shared" ca="1" si="13"/>
        <v>F#</v>
      </c>
      <c r="I70" s="1" t="str">
        <f t="shared" ca="1" si="11"/>
        <v>A</v>
      </c>
      <c r="J70" s="1" t="str">
        <f t="shared" ca="1" si="12"/>
        <v>C#</v>
      </c>
      <c r="K70" s="1" t="str">
        <f t="shared" ca="1" si="14"/>
        <v>AC#F#</v>
      </c>
      <c r="L70" s="1" t="str">
        <f t="shared" ca="1" si="15"/>
        <v>Gb</v>
      </c>
      <c r="M70" s="1" t="str">
        <f t="shared" ca="1" si="16"/>
        <v>A</v>
      </c>
      <c r="N70" s="1" t="str">
        <f t="shared" ca="1" si="17"/>
        <v>Db</v>
      </c>
      <c r="O70" s="1" t="str">
        <f t="shared" ca="1" si="18"/>
        <v>ADbGb</v>
      </c>
    </row>
    <row r="71" spans="1:15">
      <c r="A71" s="1" t="s">
        <v>64</v>
      </c>
      <c r="B71" s="1">
        <v>10</v>
      </c>
      <c r="C71" s="1" t="s">
        <v>67</v>
      </c>
      <c r="D71" s="1">
        <v>7</v>
      </c>
      <c r="E71" s="1">
        <f t="shared" ca="1" si="22"/>
        <v>11</v>
      </c>
      <c r="F71" s="1">
        <f t="shared" ca="1" si="23"/>
        <v>2</v>
      </c>
      <c r="G71" s="1">
        <f t="shared" ca="1" si="24"/>
        <v>5</v>
      </c>
      <c r="H71" s="1" t="str">
        <f t="shared" ca="1" si="13"/>
        <v>G#</v>
      </c>
      <c r="I71" s="1" t="str">
        <f t="shared" ca="1" si="11"/>
        <v>B</v>
      </c>
      <c r="J71" s="1" t="str">
        <f t="shared" ca="1" si="12"/>
        <v>D</v>
      </c>
      <c r="K71" s="1" t="str">
        <f t="shared" ca="1" si="14"/>
        <v>BDG#</v>
      </c>
      <c r="L71" s="1" t="str">
        <f t="shared" ca="1" si="15"/>
        <v>Ab</v>
      </c>
      <c r="M71" s="1" t="str">
        <f t="shared" ca="1" si="16"/>
        <v>B</v>
      </c>
      <c r="N71" s="1" t="str">
        <f t="shared" ca="1" si="17"/>
        <v>D</v>
      </c>
      <c r="O71" s="1" t="str">
        <f t="shared" ca="1" si="18"/>
        <v>AbBD</v>
      </c>
    </row>
    <row r="72" spans="1:15">
      <c r="A72" s="1" t="s">
        <v>65</v>
      </c>
      <c r="B72" s="1">
        <v>11</v>
      </c>
      <c r="C72" s="1" t="s">
        <v>67</v>
      </c>
      <c r="D72" s="1">
        <v>1</v>
      </c>
      <c r="E72" s="1">
        <f t="shared" ca="1" si="22"/>
        <v>0</v>
      </c>
      <c r="F72" s="1">
        <f t="shared" ca="1" si="23"/>
        <v>4</v>
      </c>
      <c r="G72" s="1">
        <f t="shared" ca="1" si="24"/>
        <v>7</v>
      </c>
      <c r="H72" s="1" t="str">
        <f t="shared" ca="1" si="13"/>
        <v>A#</v>
      </c>
      <c r="I72" s="1" t="str">
        <f t="shared" ca="1" si="11"/>
        <v>D</v>
      </c>
      <c r="J72" s="1" t="str">
        <f t="shared" ca="1" si="12"/>
        <v>F</v>
      </c>
      <c r="K72" s="1" t="str">
        <f t="shared" ca="1" si="14"/>
        <v>A#DF</v>
      </c>
      <c r="L72" s="1" t="str">
        <f t="shared" ca="1" si="15"/>
        <v>Bb</v>
      </c>
      <c r="M72" s="1" t="str">
        <f t="shared" ca="1" si="16"/>
        <v>D</v>
      </c>
      <c r="N72" s="1" t="str">
        <f t="shared" ca="1" si="17"/>
        <v>F</v>
      </c>
      <c r="O72" s="1" t="str">
        <f t="shared" ca="1" si="18"/>
        <v>BbDF</v>
      </c>
    </row>
    <row r="73" spans="1:15">
      <c r="A73" s="1" t="s">
        <v>65</v>
      </c>
      <c r="B73" s="1">
        <v>11</v>
      </c>
      <c r="C73" s="1" t="s">
        <v>67</v>
      </c>
      <c r="D73" s="1">
        <v>2</v>
      </c>
      <c r="E73" s="1">
        <f t="shared" ca="1" si="22"/>
        <v>2</v>
      </c>
      <c r="F73" s="1">
        <f t="shared" ca="1" si="23"/>
        <v>5</v>
      </c>
      <c r="G73" s="1">
        <f t="shared" ca="1" si="24"/>
        <v>9</v>
      </c>
      <c r="H73" s="1" t="str">
        <f t="shared" ca="1" si="13"/>
        <v>C</v>
      </c>
      <c r="I73" s="1" t="str">
        <f t="shared" ca="1" si="11"/>
        <v>D#</v>
      </c>
      <c r="J73" s="1" t="str">
        <f t="shared" ca="1" si="12"/>
        <v>G</v>
      </c>
      <c r="K73" s="1" t="str">
        <f t="shared" ca="1" si="14"/>
        <v>CD#G</v>
      </c>
      <c r="L73" s="1" t="str">
        <f t="shared" ca="1" si="15"/>
        <v>C</v>
      </c>
      <c r="M73" s="1" t="str">
        <f t="shared" ca="1" si="16"/>
        <v>Eb</v>
      </c>
      <c r="N73" s="1" t="str">
        <f t="shared" ca="1" si="17"/>
        <v>G</v>
      </c>
      <c r="O73" s="1" t="str">
        <f t="shared" ca="1" si="18"/>
        <v>CEbG</v>
      </c>
    </row>
    <row r="74" spans="1:15">
      <c r="A74" s="1" t="s">
        <v>65</v>
      </c>
      <c r="B74" s="1">
        <v>11</v>
      </c>
      <c r="C74" s="1" t="s">
        <v>67</v>
      </c>
      <c r="D74" s="1">
        <v>3</v>
      </c>
      <c r="E74" s="1">
        <f t="shared" ca="1" si="22"/>
        <v>4</v>
      </c>
      <c r="F74" s="1">
        <f t="shared" ca="1" si="23"/>
        <v>7</v>
      </c>
      <c r="G74" s="1">
        <f t="shared" ca="1" si="24"/>
        <v>11</v>
      </c>
      <c r="H74" s="1" t="str">
        <f t="shared" ca="1" si="13"/>
        <v>D</v>
      </c>
      <c r="I74" s="1" t="str">
        <f t="shared" ca="1" si="11"/>
        <v>F</v>
      </c>
      <c r="J74" s="1" t="str">
        <f t="shared" ca="1" si="12"/>
        <v>A</v>
      </c>
      <c r="K74" s="1" t="str">
        <f t="shared" ca="1" si="14"/>
        <v>ADF</v>
      </c>
      <c r="L74" s="1" t="str">
        <f t="shared" ca="1" si="15"/>
        <v>D</v>
      </c>
      <c r="M74" s="1" t="str">
        <f t="shared" ca="1" si="16"/>
        <v>F</v>
      </c>
      <c r="N74" s="1" t="str">
        <f t="shared" ca="1" si="17"/>
        <v>A</v>
      </c>
      <c r="O74" s="1" t="str">
        <f t="shared" ca="1" si="18"/>
        <v>ADF</v>
      </c>
    </row>
    <row r="75" spans="1:15">
      <c r="A75" s="1" t="s">
        <v>65</v>
      </c>
      <c r="B75" s="1">
        <v>11</v>
      </c>
      <c r="C75" s="1" t="s">
        <v>67</v>
      </c>
      <c r="D75" s="1">
        <v>4</v>
      </c>
      <c r="E75" s="1">
        <f t="shared" ca="1" si="22"/>
        <v>5</v>
      </c>
      <c r="F75" s="1">
        <f t="shared" ca="1" si="23"/>
        <v>9</v>
      </c>
      <c r="G75" s="1">
        <f t="shared" ca="1" si="24"/>
        <v>0</v>
      </c>
      <c r="H75" s="1" t="str">
        <f t="shared" ca="1" si="13"/>
        <v>D#</v>
      </c>
      <c r="I75" s="1" t="str">
        <f t="shared" ca="1" si="11"/>
        <v>G</v>
      </c>
      <c r="J75" s="1" t="str">
        <f t="shared" ca="1" si="12"/>
        <v>A#</v>
      </c>
      <c r="K75" s="1" t="str">
        <f t="shared" ca="1" si="14"/>
        <v>A#D#G</v>
      </c>
      <c r="L75" s="1" t="str">
        <f t="shared" ca="1" si="15"/>
        <v>Eb</v>
      </c>
      <c r="M75" s="1" t="str">
        <f t="shared" ca="1" si="16"/>
        <v>G</v>
      </c>
      <c r="N75" s="1" t="str">
        <f t="shared" ca="1" si="17"/>
        <v>Bb</v>
      </c>
      <c r="O75" s="1" t="str">
        <f t="shared" ca="1" si="18"/>
        <v>BbEbG</v>
      </c>
    </row>
    <row r="76" spans="1:15">
      <c r="A76" s="1" t="s">
        <v>65</v>
      </c>
      <c r="B76" s="1">
        <v>11</v>
      </c>
      <c r="C76" s="1" t="s">
        <v>67</v>
      </c>
      <c r="D76" s="1">
        <v>5</v>
      </c>
      <c r="E76" s="1">
        <f t="shared" ca="1" si="22"/>
        <v>7</v>
      </c>
      <c r="F76" s="1">
        <f t="shared" ca="1" si="23"/>
        <v>11</v>
      </c>
      <c r="G76" s="1">
        <f t="shared" ca="1" si="24"/>
        <v>2</v>
      </c>
      <c r="H76" s="1" t="str">
        <f t="shared" ca="1" si="13"/>
        <v>F</v>
      </c>
      <c r="I76" s="1" t="str">
        <f t="shared" ca="1" si="11"/>
        <v>A</v>
      </c>
      <c r="J76" s="1" t="str">
        <f t="shared" ca="1" si="12"/>
        <v>C</v>
      </c>
      <c r="K76" s="1" t="str">
        <f t="shared" ca="1" si="14"/>
        <v>ACF</v>
      </c>
      <c r="L76" s="1" t="str">
        <f t="shared" ca="1" si="15"/>
        <v>F</v>
      </c>
      <c r="M76" s="1" t="str">
        <f t="shared" ca="1" si="16"/>
        <v>A</v>
      </c>
      <c r="N76" s="1" t="str">
        <f t="shared" ca="1" si="17"/>
        <v>C</v>
      </c>
      <c r="O76" s="1" t="str">
        <f t="shared" ca="1" si="18"/>
        <v>ACF</v>
      </c>
    </row>
    <row r="77" spans="1:15">
      <c r="A77" s="1" t="s">
        <v>65</v>
      </c>
      <c r="B77" s="1">
        <v>11</v>
      </c>
      <c r="C77" s="1" t="s">
        <v>67</v>
      </c>
      <c r="D77" s="1">
        <v>6</v>
      </c>
      <c r="E77" s="1">
        <f t="shared" ca="1" si="22"/>
        <v>9</v>
      </c>
      <c r="F77" s="1">
        <f t="shared" ca="1" si="23"/>
        <v>0</v>
      </c>
      <c r="G77" s="1">
        <f t="shared" ca="1" si="24"/>
        <v>4</v>
      </c>
      <c r="H77" s="1" t="str">
        <f t="shared" ca="1" si="13"/>
        <v>G</v>
      </c>
      <c r="I77" s="1" t="str">
        <f t="shared" ca="1" si="11"/>
        <v>A#</v>
      </c>
      <c r="J77" s="1" t="str">
        <f t="shared" ca="1" si="12"/>
        <v>D</v>
      </c>
      <c r="K77" s="1" t="str">
        <f t="shared" ca="1" si="14"/>
        <v>A#DG</v>
      </c>
      <c r="L77" s="1" t="str">
        <f t="shared" ca="1" si="15"/>
        <v>G</v>
      </c>
      <c r="M77" s="1" t="str">
        <f t="shared" ca="1" si="16"/>
        <v>Bb</v>
      </c>
      <c r="N77" s="1" t="str">
        <f t="shared" ca="1" si="17"/>
        <v>D</v>
      </c>
      <c r="O77" s="1" t="str">
        <f t="shared" ca="1" si="18"/>
        <v>BbDG</v>
      </c>
    </row>
    <row r="78" spans="1:15">
      <c r="A78" s="1" t="s">
        <v>65</v>
      </c>
      <c r="B78" s="1">
        <v>11</v>
      </c>
      <c r="C78" s="1" t="s">
        <v>67</v>
      </c>
      <c r="D78" s="1">
        <v>7</v>
      </c>
      <c r="E78" s="1">
        <f t="shared" ca="1" si="22"/>
        <v>11</v>
      </c>
      <c r="F78" s="1">
        <f t="shared" ca="1" si="23"/>
        <v>2</v>
      </c>
      <c r="G78" s="1">
        <f t="shared" ca="1" si="24"/>
        <v>5</v>
      </c>
      <c r="H78" s="1" t="str">
        <f t="shared" ca="1" si="13"/>
        <v>A</v>
      </c>
      <c r="I78" s="1" t="str">
        <f t="shared" ca="1" si="11"/>
        <v>C</v>
      </c>
      <c r="J78" s="1" t="str">
        <f t="shared" ca="1" si="12"/>
        <v>D#</v>
      </c>
      <c r="K78" s="1" t="str">
        <f t="shared" ca="1" si="14"/>
        <v>ACD#</v>
      </c>
      <c r="L78" s="1" t="str">
        <f t="shared" ca="1" si="15"/>
        <v>A</v>
      </c>
      <c r="M78" s="1" t="str">
        <f t="shared" ca="1" si="16"/>
        <v>C</v>
      </c>
      <c r="N78" s="1" t="str">
        <f t="shared" ca="1" si="17"/>
        <v>Eb</v>
      </c>
      <c r="O78" s="1" t="str">
        <f t="shared" ca="1" si="18"/>
        <v>ACEb</v>
      </c>
    </row>
    <row r="79" spans="1:15">
      <c r="A79" s="1" t="s">
        <v>66</v>
      </c>
      <c r="B79" s="1">
        <v>12</v>
      </c>
      <c r="C79" s="1" t="s">
        <v>67</v>
      </c>
      <c r="D79" s="1">
        <v>1</v>
      </c>
      <c r="E79" s="1">
        <f t="shared" ca="1" si="22"/>
        <v>0</v>
      </c>
      <c r="F79" s="1">
        <f t="shared" ca="1" si="23"/>
        <v>4</v>
      </c>
      <c r="G79" s="1">
        <f t="shared" ca="1" si="24"/>
        <v>7</v>
      </c>
      <c r="H79" s="1" t="str">
        <f t="shared" ca="1" si="13"/>
        <v>B</v>
      </c>
      <c r="I79" s="1" t="str">
        <f t="shared" ca="1" si="11"/>
        <v>D#</v>
      </c>
      <c r="J79" s="1" t="str">
        <f t="shared" ca="1" si="12"/>
        <v>F#</v>
      </c>
      <c r="K79" s="1" t="str">
        <f t="shared" ca="1" si="14"/>
        <v>BD#F#</v>
      </c>
      <c r="L79" s="1" t="str">
        <f t="shared" ca="1" si="15"/>
        <v>B</v>
      </c>
      <c r="M79" s="1" t="str">
        <f t="shared" ca="1" si="16"/>
        <v>Eb</v>
      </c>
      <c r="N79" s="1" t="str">
        <f t="shared" ca="1" si="17"/>
        <v>Gb</v>
      </c>
      <c r="O79" s="1" t="str">
        <f t="shared" ca="1" si="18"/>
        <v>BEbGb</v>
      </c>
    </row>
    <row r="80" spans="1:15">
      <c r="A80" s="1" t="s">
        <v>66</v>
      </c>
      <c r="B80" s="1">
        <v>12</v>
      </c>
      <c r="C80" s="1" t="s">
        <v>67</v>
      </c>
      <c r="D80" s="1">
        <v>2</v>
      </c>
      <c r="E80" s="1">
        <f t="shared" ca="1" si="22"/>
        <v>2</v>
      </c>
      <c r="F80" s="1">
        <f t="shared" ca="1" si="23"/>
        <v>5</v>
      </c>
      <c r="G80" s="1">
        <f t="shared" ca="1" si="24"/>
        <v>9</v>
      </c>
      <c r="H80" s="1" t="str">
        <f t="shared" ca="1" si="13"/>
        <v>C#</v>
      </c>
      <c r="I80" s="1" t="str">
        <f t="shared" ref="I80:I85" ca="1" si="25">INDIRECT("'Pitch classes'!B"&amp;IF($B80+F80&lt;=12,$B80+F80,$B80+F80-12)+1)</f>
        <v>E</v>
      </c>
      <c r="J80" s="1" t="str">
        <f t="shared" ref="J80:J85" ca="1" si="26">INDIRECT("'Pitch classes'!B"&amp;IF($B80+G80&lt;=12,$B80+G80,$B80+G80-12)+1)</f>
        <v>G#</v>
      </c>
      <c r="K80" s="1" t="str">
        <f t="shared" ca="1" si="14"/>
        <v>C#EG#</v>
      </c>
      <c r="L80" s="1" t="str">
        <f t="shared" ca="1" si="15"/>
        <v>Db</v>
      </c>
      <c r="M80" s="1" t="str">
        <f t="shared" ca="1" si="16"/>
        <v>E</v>
      </c>
      <c r="N80" s="1" t="str">
        <f t="shared" ca="1" si="17"/>
        <v>Ab</v>
      </c>
      <c r="O80" s="1" t="str">
        <f t="shared" ca="1" si="18"/>
        <v>AbDbE</v>
      </c>
    </row>
    <row r="81" spans="1:15">
      <c r="A81" s="1" t="s">
        <v>66</v>
      </c>
      <c r="B81" s="1">
        <v>12</v>
      </c>
      <c r="C81" s="1" t="s">
        <v>67</v>
      </c>
      <c r="D81" s="1">
        <v>3</v>
      </c>
      <c r="E81" s="1">
        <f t="shared" ca="1" si="22"/>
        <v>4</v>
      </c>
      <c r="F81" s="1">
        <f t="shared" ca="1" si="23"/>
        <v>7</v>
      </c>
      <c r="G81" s="1">
        <f t="shared" ca="1" si="24"/>
        <v>11</v>
      </c>
      <c r="H81" s="1" t="str">
        <f t="shared" ref="H81:H85" ca="1" si="27">INDIRECT("'Pitch classes'!B"&amp;IF($B81+E81&lt;=12,$B81+E81,$B81+E81-12)+1)</f>
        <v>D#</v>
      </c>
      <c r="I81" s="1" t="str">
        <f t="shared" ca="1" si="25"/>
        <v>F#</v>
      </c>
      <c r="J81" s="1" t="str">
        <f t="shared" ca="1" si="26"/>
        <v>A#</v>
      </c>
      <c r="K81" s="1" t="str">
        <f t="shared" ref="K81:K86" ca="1" si="28">GetSortedUniquePitchClasses(CONCATENATE(H81, I81, J81))</f>
        <v>A#D#F#</v>
      </c>
      <c r="L81" s="1" t="str">
        <f t="shared" ref="L81:L85" ca="1" si="29">INDIRECT("'Pitch classes'!C"&amp;IF($B81+E81&lt;=12,$B81+E81,$B81+E81-12)+1)</f>
        <v>Eb</v>
      </c>
      <c r="M81" s="1" t="str">
        <f t="shared" ref="M81:M85" ca="1" si="30">INDIRECT("'Pitch classes'!C"&amp;IF($B81+F81&lt;=12,$B81+F81,$B81+F81-12)+1)</f>
        <v>Gb</v>
      </c>
      <c r="N81" s="1" t="str">
        <f t="shared" ref="N81:N85" ca="1" si="31">INDIRECT("'Pitch classes'!C"&amp;IF($B81+G81&lt;=12,$B81+G81,$B81+G81-12)+1)</f>
        <v>Bb</v>
      </c>
      <c r="O81" s="1" t="str">
        <f t="shared" ref="O81:O86" ca="1" si="32">GetSortedUniquePitchClasses(CONCATENATE(L81, M81, N81))</f>
        <v>BbEbGb</v>
      </c>
    </row>
    <row r="82" spans="1:15">
      <c r="A82" s="1" t="s">
        <v>66</v>
      </c>
      <c r="B82" s="1">
        <v>12</v>
      </c>
      <c r="C82" s="1" t="s">
        <v>67</v>
      </c>
      <c r="D82" s="1">
        <v>4</v>
      </c>
      <c r="E82" s="1">
        <f t="shared" ca="1" si="22"/>
        <v>5</v>
      </c>
      <c r="F82" s="1">
        <f t="shared" ca="1" si="23"/>
        <v>9</v>
      </c>
      <c r="G82" s="1">
        <f t="shared" ca="1" si="24"/>
        <v>0</v>
      </c>
      <c r="H82" s="1" t="str">
        <f t="shared" ca="1" si="27"/>
        <v>E</v>
      </c>
      <c r="I82" s="1" t="str">
        <f t="shared" ca="1" si="25"/>
        <v>G#</v>
      </c>
      <c r="J82" s="1" t="str">
        <f t="shared" ca="1" si="26"/>
        <v>B</v>
      </c>
      <c r="K82" s="1" t="str">
        <f t="shared" ca="1" si="28"/>
        <v>BEG#</v>
      </c>
      <c r="L82" s="1" t="str">
        <f t="shared" ca="1" si="29"/>
        <v>E</v>
      </c>
      <c r="M82" s="1" t="str">
        <f t="shared" ca="1" si="30"/>
        <v>Ab</v>
      </c>
      <c r="N82" s="1" t="str">
        <f t="shared" ca="1" si="31"/>
        <v>B</v>
      </c>
      <c r="O82" s="1" t="str">
        <f t="shared" ca="1" si="32"/>
        <v>AbBE</v>
      </c>
    </row>
    <row r="83" spans="1:15">
      <c r="A83" s="1" t="s">
        <v>66</v>
      </c>
      <c r="B83" s="1">
        <v>12</v>
      </c>
      <c r="C83" s="1" t="s">
        <v>67</v>
      </c>
      <c r="D83" s="1">
        <v>5</v>
      </c>
      <c r="E83" s="1">
        <f t="shared" ca="1" si="22"/>
        <v>7</v>
      </c>
      <c r="F83" s="1">
        <f t="shared" ca="1" si="23"/>
        <v>11</v>
      </c>
      <c r="G83" s="1">
        <f t="shared" ca="1" si="24"/>
        <v>2</v>
      </c>
      <c r="H83" s="1" t="str">
        <f t="shared" ca="1" si="27"/>
        <v>F#</v>
      </c>
      <c r="I83" s="1" t="str">
        <f t="shared" ca="1" si="25"/>
        <v>A#</v>
      </c>
      <c r="J83" s="1" t="str">
        <f t="shared" ca="1" si="26"/>
        <v>C#</v>
      </c>
      <c r="K83" s="1" t="str">
        <f t="shared" ca="1" si="28"/>
        <v>A#C#F#</v>
      </c>
      <c r="L83" s="1" t="str">
        <f t="shared" ca="1" si="29"/>
        <v>Gb</v>
      </c>
      <c r="M83" s="1" t="str">
        <f t="shared" ca="1" si="30"/>
        <v>Bb</v>
      </c>
      <c r="N83" s="1" t="str">
        <f t="shared" ca="1" si="31"/>
        <v>Db</v>
      </c>
      <c r="O83" s="1" t="str">
        <f t="shared" ca="1" si="32"/>
        <v>BbDbGb</v>
      </c>
    </row>
    <row r="84" spans="1:15">
      <c r="A84" s="1" t="s">
        <v>66</v>
      </c>
      <c r="B84" s="1">
        <v>12</v>
      </c>
      <c r="C84" s="1" t="s">
        <v>67</v>
      </c>
      <c r="D84" s="1">
        <v>6</v>
      </c>
      <c r="E84" s="1">
        <f t="shared" ca="1" si="22"/>
        <v>9</v>
      </c>
      <c r="F84" s="1">
        <f t="shared" ca="1" si="23"/>
        <v>0</v>
      </c>
      <c r="G84" s="1">
        <f t="shared" ca="1" si="24"/>
        <v>4</v>
      </c>
      <c r="H84" s="1" t="str">
        <f t="shared" ca="1" si="27"/>
        <v>G#</v>
      </c>
      <c r="I84" s="1" t="str">
        <f t="shared" ca="1" si="25"/>
        <v>B</v>
      </c>
      <c r="J84" s="1" t="str">
        <f t="shared" ca="1" si="26"/>
        <v>D#</v>
      </c>
      <c r="K84" s="1" t="str">
        <f t="shared" ca="1" si="28"/>
        <v>BD#G#</v>
      </c>
      <c r="L84" s="1" t="str">
        <f t="shared" ca="1" si="29"/>
        <v>Ab</v>
      </c>
      <c r="M84" s="1" t="str">
        <f t="shared" ca="1" si="30"/>
        <v>B</v>
      </c>
      <c r="N84" s="1" t="str">
        <f t="shared" ca="1" si="31"/>
        <v>Eb</v>
      </c>
      <c r="O84" s="1" t="str">
        <f t="shared" ca="1" si="32"/>
        <v>AbBEb</v>
      </c>
    </row>
    <row r="85" spans="1:15">
      <c r="A85" s="1" t="s">
        <v>66</v>
      </c>
      <c r="B85" s="1">
        <v>12</v>
      </c>
      <c r="C85" s="1" t="s">
        <v>67</v>
      </c>
      <c r="D85" s="1">
        <v>7</v>
      </c>
      <c r="E85" s="1">
        <f t="shared" ca="1" si="22"/>
        <v>11</v>
      </c>
      <c r="F85" s="1">
        <f t="shared" ca="1" si="23"/>
        <v>2</v>
      </c>
      <c r="G85" s="1">
        <f t="shared" ca="1" si="24"/>
        <v>5</v>
      </c>
      <c r="H85" s="1" t="str">
        <f t="shared" ca="1" si="27"/>
        <v>A#</v>
      </c>
      <c r="I85" s="1" t="str">
        <f t="shared" ca="1" si="25"/>
        <v>C#</v>
      </c>
      <c r="J85" s="1" t="str">
        <f t="shared" ca="1" si="26"/>
        <v>E</v>
      </c>
      <c r="K85" s="1" t="str">
        <f t="shared" ca="1" si="28"/>
        <v>A#C#E</v>
      </c>
      <c r="L85" s="1" t="str">
        <f t="shared" ca="1" si="29"/>
        <v>Bb</v>
      </c>
      <c r="M85" s="1" t="str">
        <f t="shared" ca="1" si="30"/>
        <v>Db</v>
      </c>
      <c r="N85" s="1" t="str">
        <f t="shared" ca="1" si="31"/>
        <v>E</v>
      </c>
      <c r="O85" s="1" t="str">
        <f t="shared" ca="1" si="32"/>
        <v>BbDbE</v>
      </c>
    </row>
    <row r="86" spans="1:15">
      <c r="A86" s="1" t="s">
        <v>53</v>
      </c>
      <c r="B86" s="1">
        <v>1</v>
      </c>
      <c r="C86" s="1" t="s">
        <v>95</v>
      </c>
      <c r="D86" s="1">
        <v>1</v>
      </c>
      <c r="E86" s="1">
        <f ca="1">INDIRECT("'Scales'!$C" &amp; IF($D86 &lt;=7, $D86+1, $D86-6))</f>
        <v>0</v>
      </c>
      <c r="F86" s="1">
        <f ca="1">INDIRECT("'Scales'!$C" &amp; IF($D86 &lt;=5, $D86+3, $D86-4))</f>
        <v>3</v>
      </c>
      <c r="G86" s="1">
        <f ca="1">INDIRECT("'Scales'!$C" &amp; IF($D86 &lt;=3, $D86+5, $D86-2))</f>
        <v>7</v>
      </c>
      <c r="H86" s="1" t="str">
        <f t="shared" ref="H86" ca="1" si="33">INDIRECT("'Pitch classes'!B"&amp;IF($B86+E86&lt;=12,$B86+E86,$B86+E86-12)+1)</f>
        <v>C</v>
      </c>
      <c r="I86" s="1" t="str">
        <f t="shared" ref="I86" ca="1" si="34">INDIRECT("'Pitch classes'!B"&amp;IF($B86+F86&lt;=12,$B86+F86,$B86+F86-12)+1)</f>
        <v>D#</v>
      </c>
      <c r="J86" s="1" t="str">
        <f t="shared" ref="J86" ca="1" si="35">INDIRECT("'Pitch classes'!B"&amp;IF($B86+G86&lt;=12,$B86+G86,$B86+G86-12)+1)</f>
        <v>G</v>
      </c>
      <c r="K86" s="1" t="str">
        <f t="shared" ca="1" si="28"/>
        <v>CD#G</v>
      </c>
      <c r="L86" s="1" t="str">
        <f t="shared" ref="L86" ca="1" si="36">INDIRECT("'Pitch classes'!C"&amp;IF($B86+E86&lt;=12,$B86+E86,$B86+E86-12)+1)</f>
        <v>C</v>
      </c>
      <c r="M86" s="1" t="str">
        <f t="shared" ref="M86" ca="1" si="37">INDIRECT("'Pitch classes'!C"&amp;IF($B86+F86&lt;=12,$B86+F86,$B86+F86-12)+1)</f>
        <v>Eb</v>
      </c>
      <c r="N86" s="1" t="str">
        <f t="shared" ref="N86" ca="1" si="38">INDIRECT("'Pitch classes'!C"&amp;IF($B86+G86&lt;=12,$B86+G86,$B86+G86-12)+1)</f>
        <v>G</v>
      </c>
      <c r="O86" s="1" t="str">
        <f t="shared" ca="1" si="32"/>
        <v>CEbG</v>
      </c>
    </row>
    <row r="87" spans="1:15">
      <c r="A87" s="1" t="s">
        <v>53</v>
      </c>
      <c r="B87" s="1">
        <v>1</v>
      </c>
      <c r="C87" s="1" t="s">
        <v>95</v>
      </c>
      <c r="D87" s="1">
        <v>2</v>
      </c>
      <c r="E87" s="1">
        <f t="shared" ref="E87:E150" ca="1" si="39">INDIRECT("'Scales'!$C" &amp; IF($D87 &lt;=7, $D87+1, $D87-6))</f>
        <v>2</v>
      </c>
      <c r="F87" s="1">
        <f t="shared" ref="F87:F150" ca="1" si="40">INDIRECT("'Scales'!$C" &amp; IF($D87 &lt;=5, $D87+3, $D87-4))</f>
        <v>5</v>
      </c>
      <c r="G87" s="1">
        <f t="shared" ref="G87:G150" ca="1" si="41">INDIRECT("'Scales'!$C" &amp; IF($D87 &lt;=3, $D87+5, $D87-2))</f>
        <v>8</v>
      </c>
      <c r="H87" s="1" t="str">
        <f t="shared" ref="H87:H150" ca="1" si="42">INDIRECT("'Pitch classes'!B"&amp;IF($B87+E87&lt;=12,$B87+E87,$B87+E87-12)+1)</f>
        <v>D</v>
      </c>
      <c r="I87" s="1" t="str">
        <f t="shared" ref="I87:I150" ca="1" si="43">INDIRECT("'Pitch classes'!B"&amp;IF($B87+F87&lt;=12,$B87+F87,$B87+F87-12)+1)</f>
        <v>F</v>
      </c>
      <c r="J87" s="1" t="str">
        <f t="shared" ref="J87:J150" ca="1" si="44">INDIRECT("'Pitch classes'!B"&amp;IF($B87+G87&lt;=12,$B87+G87,$B87+G87-12)+1)</f>
        <v>G#</v>
      </c>
      <c r="K87" s="1" t="str">
        <f t="shared" ref="K87:K150" ca="1" si="45">GetSortedUniquePitchClasses(CONCATENATE(H87, I87, J87))</f>
        <v>DFG#</v>
      </c>
      <c r="L87" s="1" t="str">
        <f t="shared" ref="L87:L150" ca="1" si="46">INDIRECT("'Pitch classes'!C"&amp;IF($B87+E87&lt;=12,$B87+E87,$B87+E87-12)+1)</f>
        <v>D</v>
      </c>
      <c r="M87" s="1" t="str">
        <f t="shared" ref="M87:M150" ca="1" si="47">INDIRECT("'Pitch classes'!C"&amp;IF($B87+F87&lt;=12,$B87+F87,$B87+F87-12)+1)</f>
        <v>F</v>
      </c>
      <c r="N87" s="1" t="str">
        <f t="shared" ref="N87:N150" ca="1" si="48">INDIRECT("'Pitch classes'!C"&amp;IF($B87+G87&lt;=12,$B87+G87,$B87+G87-12)+1)</f>
        <v>Ab</v>
      </c>
      <c r="O87" s="1" t="str">
        <f t="shared" ref="O87:O150" ca="1" si="49">GetSortedUniquePitchClasses(CONCATENATE(L87, M87, N87))</f>
        <v>AbDF</v>
      </c>
    </row>
    <row r="88" spans="1:15">
      <c r="A88" s="1" t="s">
        <v>53</v>
      </c>
      <c r="B88" s="1">
        <v>1</v>
      </c>
      <c r="C88" s="1" t="s">
        <v>95</v>
      </c>
      <c r="D88" s="1">
        <v>3</v>
      </c>
      <c r="E88" s="1">
        <f t="shared" ca="1" si="39"/>
        <v>3</v>
      </c>
      <c r="F88" s="1">
        <f t="shared" ca="1" si="40"/>
        <v>7</v>
      </c>
      <c r="G88" s="1">
        <f t="shared" ca="1" si="41"/>
        <v>10</v>
      </c>
      <c r="H88" s="1" t="str">
        <f t="shared" ca="1" si="42"/>
        <v>D#</v>
      </c>
      <c r="I88" s="1" t="str">
        <f t="shared" ca="1" si="43"/>
        <v>G</v>
      </c>
      <c r="J88" s="1" t="str">
        <f t="shared" ca="1" si="44"/>
        <v>A#</v>
      </c>
      <c r="K88" s="1" t="str">
        <f t="shared" ca="1" si="45"/>
        <v>A#D#G</v>
      </c>
      <c r="L88" s="1" t="str">
        <f t="shared" ca="1" si="46"/>
        <v>Eb</v>
      </c>
      <c r="M88" s="1" t="str">
        <f t="shared" ca="1" si="47"/>
        <v>G</v>
      </c>
      <c r="N88" s="1" t="str">
        <f t="shared" ca="1" si="48"/>
        <v>Bb</v>
      </c>
      <c r="O88" s="1" t="str">
        <f t="shared" ca="1" si="49"/>
        <v>BbEbG</v>
      </c>
    </row>
    <row r="89" spans="1:15">
      <c r="A89" s="1" t="s">
        <v>53</v>
      </c>
      <c r="B89" s="1">
        <v>1</v>
      </c>
      <c r="C89" s="1" t="s">
        <v>95</v>
      </c>
      <c r="D89" s="1">
        <v>4</v>
      </c>
      <c r="E89" s="1">
        <f t="shared" ca="1" si="39"/>
        <v>5</v>
      </c>
      <c r="F89" s="1">
        <f t="shared" ca="1" si="40"/>
        <v>8</v>
      </c>
      <c r="G89" s="1">
        <f t="shared" ca="1" si="41"/>
        <v>0</v>
      </c>
      <c r="H89" s="1" t="str">
        <f t="shared" ca="1" si="42"/>
        <v>F</v>
      </c>
      <c r="I89" s="1" t="str">
        <f t="shared" ca="1" si="43"/>
        <v>G#</v>
      </c>
      <c r="J89" s="1" t="str">
        <f t="shared" ca="1" si="44"/>
        <v>C</v>
      </c>
      <c r="K89" s="1" t="str">
        <f t="shared" ca="1" si="45"/>
        <v>CFG#</v>
      </c>
      <c r="L89" s="1" t="str">
        <f t="shared" ca="1" si="46"/>
        <v>F</v>
      </c>
      <c r="M89" s="1" t="str">
        <f t="shared" ca="1" si="47"/>
        <v>Ab</v>
      </c>
      <c r="N89" s="1" t="str">
        <f t="shared" ca="1" si="48"/>
        <v>C</v>
      </c>
      <c r="O89" s="1" t="str">
        <f t="shared" ca="1" si="49"/>
        <v>AbCF</v>
      </c>
    </row>
    <row r="90" spans="1:15">
      <c r="A90" s="1" t="s">
        <v>53</v>
      </c>
      <c r="B90" s="1">
        <v>1</v>
      </c>
      <c r="C90" s="1" t="s">
        <v>95</v>
      </c>
      <c r="D90" s="1">
        <v>5</v>
      </c>
      <c r="E90" s="1">
        <f t="shared" ca="1" si="39"/>
        <v>7</v>
      </c>
      <c r="F90" s="1">
        <f t="shared" ca="1" si="40"/>
        <v>10</v>
      </c>
      <c r="G90" s="1">
        <f t="shared" ca="1" si="41"/>
        <v>2</v>
      </c>
      <c r="H90" s="1" t="str">
        <f t="shared" ca="1" si="42"/>
        <v>G</v>
      </c>
      <c r="I90" s="1" t="str">
        <f t="shared" ca="1" si="43"/>
        <v>A#</v>
      </c>
      <c r="J90" s="1" t="str">
        <f t="shared" ca="1" si="44"/>
        <v>D</v>
      </c>
      <c r="K90" s="1" t="str">
        <f t="shared" ca="1" si="45"/>
        <v>A#DG</v>
      </c>
      <c r="L90" s="1" t="str">
        <f t="shared" ca="1" si="46"/>
        <v>G</v>
      </c>
      <c r="M90" s="1" t="str">
        <f t="shared" ca="1" si="47"/>
        <v>Bb</v>
      </c>
      <c r="N90" s="1" t="str">
        <f t="shared" ca="1" si="48"/>
        <v>D</v>
      </c>
      <c r="O90" s="1" t="str">
        <f t="shared" ca="1" si="49"/>
        <v>BbDG</v>
      </c>
    </row>
    <row r="91" spans="1:15">
      <c r="A91" s="1" t="s">
        <v>53</v>
      </c>
      <c r="B91" s="1">
        <v>1</v>
      </c>
      <c r="C91" s="1" t="s">
        <v>95</v>
      </c>
      <c r="D91" s="1">
        <v>6</v>
      </c>
      <c r="E91" s="1">
        <f t="shared" ca="1" si="39"/>
        <v>8</v>
      </c>
      <c r="F91" s="1">
        <f t="shared" ca="1" si="40"/>
        <v>0</v>
      </c>
      <c r="G91" s="1">
        <f t="shared" ca="1" si="41"/>
        <v>3</v>
      </c>
      <c r="H91" s="1" t="str">
        <f t="shared" ca="1" si="42"/>
        <v>G#</v>
      </c>
      <c r="I91" s="1" t="str">
        <f t="shared" ca="1" si="43"/>
        <v>C</v>
      </c>
      <c r="J91" s="1" t="str">
        <f t="shared" ca="1" si="44"/>
        <v>D#</v>
      </c>
      <c r="K91" s="1" t="str">
        <f t="shared" ca="1" si="45"/>
        <v>CD#G#</v>
      </c>
      <c r="L91" s="1" t="str">
        <f t="shared" ca="1" si="46"/>
        <v>Ab</v>
      </c>
      <c r="M91" s="1" t="str">
        <f t="shared" ca="1" si="47"/>
        <v>C</v>
      </c>
      <c r="N91" s="1" t="str">
        <f t="shared" ca="1" si="48"/>
        <v>Eb</v>
      </c>
      <c r="O91" s="1" t="str">
        <f t="shared" ca="1" si="49"/>
        <v>AbCEb</v>
      </c>
    </row>
    <row r="92" spans="1:15">
      <c r="A92" s="1" t="s">
        <v>53</v>
      </c>
      <c r="B92" s="1">
        <v>1</v>
      </c>
      <c r="C92" s="1" t="s">
        <v>95</v>
      </c>
      <c r="D92" s="1">
        <v>7</v>
      </c>
      <c r="E92" s="1">
        <f t="shared" ca="1" si="39"/>
        <v>10</v>
      </c>
      <c r="F92" s="1">
        <f t="shared" ca="1" si="40"/>
        <v>2</v>
      </c>
      <c r="G92" s="1">
        <f t="shared" ca="1" si="41"/>
        <v>5</v>
      </c>
      <c r="H92" s="1" t="str">
        <f t="shared" ca="1" si="42"/>
        <v>A#</v>
      </c>
      <c r="I92" s="1" t="str">
        <f t="shared" ca="1" si="43"/>
        <v>D</v>
      </c>
      <c r="J92" s="1" t="str">
        <f t="shared" ca="1" si="44"/>
        <v>F</v>
      </c>
      <c r="K92" s="1" t="str">
        <f t="shared" ca="1" si="45"/>
        <v>A#DF</v>
      </c>
      <c r="L92" s="1" t="str">
        <f t="shared" ca="1" si="46"/>
        <v>Bb</v>
      </c>
      <c r="M92" s="1" t="str">
        <f t="shared" ca="1" si="47"/>
        <v>D</v>
      </c>
      <c r="N92" s="1" t="str">
        <f t="shared" ca="1" si="48"/>
        <v>F</v>
      </c>
      <c r="O92" s="1" t="str">
        <f t="shared" ca="1" si="49"/>
        <v>BbDF</v>
      </c>
    </row>
    <row r="93" spans="1:15">
      <c r="A93" s="1" t="s">
        <v>58</v>
      </c>
      <c r="B93" s="1">
        <v>2</v>
      </c>
      <c r="C93" s="1" t="s">
        <v>95</v>
      </c>
      <c r="D93" s="1">
        <v>1</v>
      </c>
      <c r="E93" s="1">
        <f t="shared" ca="1" si="39"/>
        <v>0</v>
      </c>
      <c r="F93" s="1">
        <f t="shared" ca="1" si="40"/>
        <v>3</v>
      </c>
      <c r="G93" s="1">
        <f t="shared" ca="1" si="41"/>
        <v>7</v>
      </c>
      <c r="H93" s="1" t="str">
        <f t="shared" ca="1" si="42"/>
        <v>C#</v>
      </c>
      <c r="I93" s="1" t="str">
        <f t="shared" ca="1" si="43"/>
        <v>E</v>
      </c>
      <c r="J93" s="1" t="str">
        <f t="shared" ca="1" si="44"/>
        <v>G#</v>
      </c>
      <c r="K93" s="1" t="str">
        <f t="shared" ca="1" si="45"/>
        <v>C#EG#</v>
      </c>
      <c r="L93" s="1" t="str">
        <f t="shared" ca="1" si="46"/>
        <v>Db</v>
      </c>
      <c r="M93" s="1" t="str">
        <f t="shared" ca="1" si="47"/>
        <v>E</v>
      </c>
      <c r="N93" s="1" t="str">
        <f t="shared" ca="1" si="48"/>
        <v>Ab</v>
      </c>
      <c r="O93" s="1" t="str">
        <f t="shared" ca="1" si="49"/>
        <v>AbDbE</v>
      </c>
    </row>
    <row r="94" spans="1:15">
      <c r="A94" s="1" t="s">
        <v>58</v>
      </c>
      <c r="B94" s="1">
        <v>2</v>
      </c>
      <c r="C94" s="1" t="s">
        <v>95</v>
      </c>
      <c r="D94" s="1">
        <v>2</v>
      </c>
      <c r="E94" s="1">
        <f t="shared" ca="1" si="39"/>
        <v>2</v>
      </c>
      <c r="F94" s="1">
        <f t="shared" ca="1" si="40"/>
        <v>5</v>
      </c>
      <c r="G94" s="1">
        <f t="shared" ca="1" si="41"/>
        <v>8</v>
      </c>
      <c r="H94" s="1" t="str">
        <f t="shared" ca="1" si="42"/>
        <v>D#</v>
      </c>
      <c r="I94" s="1" t="str">
        <f t="shared" ca="1" si="43"/>
        <v>F#</v>
      </c>
      <c r="J94" s="1" t="str">
        <f t="shared" ca="1" si="44"/>
        <v>A</v>
      </c>
      <c r="K94" s="1" t="str">
        <f t="shared" ca="1" si="45"/>
        <v>AD#F#</v>
      </c>
      <c r="L94" s="1" t="str">
        <f t="shared" ca="1" si="46"/>
        <v>Eb</v>
      </c>
      <c r="M94" s="1" t="str">
        <f t="shared" ca="1" si="47"/>
        <v>Gb</v>
      </c>
      <c r="N94" s="1" t="str">
        <f t="shared" ca="1" si="48"/>
        <v>A</v>
      </c>
      <c r="O94" s="1" t="str">
        <f t="shared" ca="1" si="49"/>
        <v>AEbGb</v>
      </c>
    </row>
    <row r="95" spans="1:15">
      <c r="A95" s="1" t="s">
        <v>58</v>
      </c>
      <c r="B95" s="1">
        <v>2</v>
      </c>
      <c r="C95" s="1" t="s">
        <v>95</v>
      </c>
      <c r="D95" s="1">
        <v>3</v>
      </c>
      <c r="E95" s="1">
        <f t="shared" ca="1" si="39"/>
        <v>3</v>
      </c>
      <c r="F95" s="1">
        <f t="shared" ca="1" si="40"/>
        <v>7</v>
      </c>
      <c r="G95" s="1">
        <f t="shared" ca="1" si="41"/>
        <v>10</v>
      </c>
      <c r="H95" s="1" t="str">
        <f t="shared" ca="1" si="42"/>
        <v>E</v>
      </c>
      <c r="I95" s="1" t="str">
        <f t="shared" ca="1" si="43"/>
        <v>G#</v>
      </c>
      <c r="J95" s="1" t="str">
        <f t="shared" ca="1" si="44"/>
        <v>B</v>
      </c>
      <c r="K95" s="1" t="str">
        <f t="shared" ca="1" si="45"/>
        <v>BEG#</v>
      </c>
      <c r="L95" s="1" t="str">
        <f t="shared" ca="1" si="46"/>
        <v>E</v>
      </c>
      <c r="M95" s="1" t="str">
        <f t="shared" ca="1" si="47"/>
        <v>Ab</v>
      </c>
      <c r="N95" s="1" t="str">
        <f t="shared" ca="1" si="48"/>
        <v>B</v>
      </c>
      <c r="O95" s="1" t="str">
        <f t="shared" ca="1" si="49"/>
        <v>AbBE</v>
      </c>
    </row>
    <row r="96" spans="1:15">
      <c r="A96" s="1" t="s">
        <v>58</v>
      </c>
      <c r="B96" s="1">
        <v>2</v>
      </c>
      <c r="C96" s="1" t="s">
        <v>95</v>
      </c>
      <c r="D96" s="1">
        <v>4</v>
      </c>
      <c r="E96" s="1">
        <f t="shared" ca="1" si="39"/>
        <v>5</v>
      </c>
      <c r="F96" s="1">
        <f t="shared" ca="1" si="40"/>
        <v>8</v>
      </c>
      <c r="G96" s="1">
        <f t="shared" ca="1" si="41"/>
        <v>0</v>
      </c>
      <c r="H96" s="1" t="str">
        <f t="shared" ca="1" si="42"/>
        <v>F#</v>
      </c>
      <c r="I96" s="1" t="str">
        <f t="shared" ca="1" si="43"/>
        <v>A</v>
      </c>
      <c r="J96" s="1" t="str">
        <f t="shared" ca="1" si="44"/>
        <v>C#</v>
      </c>
      <c r="K96" s="1" t="str">
        <f t="shared" ca="1" si="45"/>
        <v>AC#F#</v>
      </c>
      <c r="L96" s="1" t="str">
        <f t="shared" ca="1" si="46"/>
        <v>Gb</v>
      </c>
      <c r="M96" s="1" t="str">
        <f t="shared" ca="1" si="47"/>
        <v>A</v>
      </c>
      <c r="N96" s="1" t="str">
        <f t="shared" ca="1" si="48"/>
        <v>Db</v>
      </c>
      <c r="O96" s="1" t="str">
        <f t="shared" ca="1" si="49"/>
        <v>ADbGb</v>
      </c>
    </row>
    <row r="97" spans="1:15">
      <c r="A97" s="1" t="s">
        <v>58</v>
      </c>
      <c r="B97" s="1">
        <v>2</v>
      </c>
      <c r="C97" s="1" t="s">
        <v>95</v>
      </c>
      <c r="D97" s="1">
        <v>5</v>
      </c>
      <c r="E97" s="1">
        <f t="shared" ca="1" si="39"/>
        <v>7</v>
      </c>
      <c r="F97" s="1">
        <f t="shared" ca="1" si="40"/>
        <v>10</v>
      </c>
      <c r="G97" s="1">
        <f t="shared" ca="1" si="41"/>
        <v>2</v>
      </c>
      <c r="H97" s="1" t="str">
        <f t="shared" ca="1" si="42"/>
        <v>G#</v>
      </c>
      <c r="I97" s="1" t="str">
        <f t="shared" ca="1" si="43"/>
        <v>B</v>
      </c>
      <c r="J97" s="1" t="str">
        <f t="shared" ca="1" si="44"/>
        <v>D#</v>
      </c>
      <c r="K97" s="1" t="str">
        <f t="shared" ca="1" si="45"/>
        <v>BD#G#</v>
      </c>
      <c r="L97" s="1" t="str">
        <f t="shared" ca="1" si="46"/>
        <v>Ab</v>
      </c>
      <c r="M97" s="1" t="str">
        <f t="shared" ca="1" si="47"/>
        <v>B</v>
      </c>
      <c r="N97" s="1" t="str">
        <f t="shared" ca="1" si="48"/>
        <v>Eb</v>
      </c>
      <c r="O97" s="1" t="str">
        <f t="shared" ca="1" si="49"/>
        <v>AbBEb</v>
      </c>
    </row>
    <row r="98" spans="1:15">
      <c r="A98" s="1" t="s">
        <v>58</v>
      </c>
      <c r="B98" s="1">
        <v>2</v>
      </c>
      <c r="C98" s="1" t="s">
        <v>95</v>
      </c>
      <c r="D98" s="1">
        <v>6</v>
      </c>
      <c r="E98" s="1">
        <f t="shared" ca="1" si="39"/>
        <v>8</v>
      </c>
      <c r="F98" s="1">
        <f t="shared" ca="1" si="40"/>
        <v>0</v>
      </c>
      <c r="G98" s="1">
        <f t="shared" ca="1" si="41"/>
        <v>3</v>
      </c>
      <c r="H98" s="1" t="str">
        <f t="shared" ca="1" si="42"/>
        <v>A</v>
      </c>
      <c r="I98" s="1" t="str">
        <f t="shared" ca="1" si="43"/>
        <v>C#</v>
      </c>
      <c r="J98" s="1" t="str">
        <f t="shared" ca="1" si="44"/>
        <v>E</v>
      </c>
      <c r="K98" s="1" t="str">
        <f t="shared" ca="1" si="45"/>
        <v>AC#E</v>
      </c>
      <c r="L98" s="1" t="str">
        <f t="shared" ca="1" si="46"/>
        <v>A</v>
      </c>
      <c r="M98" s="1" t="str">
        <f t="shared" ca="1" si="47"/>
        <v>Db</v>
      </c>
      <c r="N98" s="1" t="str">
        <f t="shared" ca="1" si="48"/>
        <v>E</v>
      </c>
      <c r="O98" s="1" t="str">
        <f t="shared" ca="1" si="49"/>
        <v>ADbE</v>
      </c>
    </row>
    <row r="99" spans="1:15">
      <c r="A99" s="1" t="s">
        <v>58</v>
      </c>
      <c r="B99" s="1">
        <v>2</v>
      </c>
      <c r="C99" s="1" t="s">
        <v>95</v>
      </c>
      <c r="D99" s="1">
        <v>7</v>
      </c>
      <c r="E99" s="1">
        <f t="shared" ca="1" si="39"/>
        <v>10</v>
      </c>
      <c r="F99" s="1">
        <f t="shared" ca="1" si="40"/>
        <v>2</v>
      </c>
      <c r="G99" s="1">
        <f t="shared" ca="1" si="41"/>
        <v>5</v>
      </c>
      <c r="H99" s="1" t="str">
        <f t="shared" ca="1" si="42"/>
        <v>B</v>
      </c>
      <c r="I99" s="1" t="str">
        <f t="shared" ca="1" si="43"/>
        <v>D#</v>
      </c>
      <c r="J99" s="1" t="str">
        <f t="shared" ca="1" si="44"/>
        <v>F#</v>
      </c>
      <c r="K99" s="1" t="str">
        <f t="shared" ca="1" si="45"/>
        <v>BD#F#</v>
      </c>
      <c r="L99" s="1" t="str">
        <f t="shared" ca="1" si="46"/>
        <v>B</v>
      </c>
      <c r="M99" s="1" t="str">
        <f t="shared" ca="1" si="47"/>
        <v>Eb</v>
      </c>
      <c r="N99" s="1" t="str">
        <f t="shared" ca="1" si="48"/>
        <v>Gb</v>
      </c>
      <c r="O99" s="1" t="str">
        <f t="shared" ca="1" si="49"/>
        <v>BEbGb</v>
      </c>
    </row>
    <row r="100" spans="1:15">
      <c r="A100" s="1" t="s">
        <v>55</v>
      </c>
      <c r="B100" s="1">
        <v>3</v>
      </c>
      <c r="C100" s="1" t="s">
        <v>95</v>
      </c>
      <c r="D100" s="1">
        <v>1</v>
      </c>
      <c r="E100" s="1">
        <f t="shared" ca="1" si="39"/>
        <v>0</v>
      </c>
      <c r="F100" s="1">
        <f t="shared" ca="1" si="40"/>
        <v>3</v>
      </c>
      <c r="G100" s="1">
        <f t="shared" ca="1" si="41"/>
        <v>7</v>
      </c>
      <c r="H100" s="1" t="str">
        <f t="shared" ca="1" si="42"/>
        <v>D</v>
      </c>
      <c r="I100" s="1" t="str">
        <f t="shared" ca="1" si="43"/>
        <v>F</v>
      </c>
      <c r="J100" s="1" t="str">
        <f t="shared" ca="1" si="44"/>
        <v>A</v>
      </c>
      <c r="K100" s="1" t="str">
        <f t="shared" ca="1" si="45"/>
        <v>ADF</v>
      </c>
      <c r="L100" s="1" t="str">
        <f t="shared" ca="1" si="46"/>
        <v>D</v>
      </c>
      <c r="M100" s="1" t="str">
        <f t="shared" ca="1" si="47"/>
        <v>F</v>
      </c>
      <c r="N100" s="1" t="str">
        <f t="shared" ca="1" si="48"/>
        <v>A</v>
      </c>
      <c r="O100" s="1" t="str">
        <f t="shared" ca="1" si="49"/>
        <v>ADF</v>
      </c>
    </row>
    <row r="101" spans="1:15">
      <c r="A101" s="1" t="s">
        <v>55</v>
      </c>
      <c r="B101" s="1">
        <v>3</v>
      </c>
      <c r="C101" s="1" t="s">
        <v>95</v>
      </c>
      <c r="D101" s="1">
        <v>2</v>
      </c>
      <c r="E101" s="1">
        <f t="shared" ca="1" si="39"/>
        <v>2</v>
      </c>
      <c r="F101" s="1">
        <f t="shared" ca="1" si="40"/>
        <v>5</v>
      </c>
      <c r="G101" s="1">
        <f t="shared" ca="1" si="41"/>
        <v>8</v>
      </c>
      <c r="H101" s="1" t="str">
        <f t="shared" ca="1" si="42"/>
        <v>E</v>
      </c>
      <c r="I101" s="1" t="str">
        <f t="shared" ca="1" si="43"/>
        <v>G</v>
      </c>
      <c r="J101" s="1" t="str">
        <f t="shared" ca="1" si="44"/>
        <v>A#</v>
      </c>
      <c r="K101" s="1" t="str">
        <f t="shared" ca="1" si="45"/>
        <v>A#EG</v>
      </c>
      <c r="L101" s="1" t="str">
        <f t="shared" ca="1" si="46"/>
        <v>E</v>
      </c>
      <c r="M101" s="1" t="str">
        <f t="shared" ca="1" si="47"/>
        <v>G</v>
      </c>
      <c r="N101" s="1" t="str">
        <f t="shared" ca="1" si="48"/>
        <v>Bb</v>
      </c>
      <c r="O101" s="1" t="str">
        <f t="shared" ca="1" si="49"/>
        <v>BbEG</v>
      </c>
    </row>
    <row r="102" spans="1:15">
      <c r="A102" s="1" t="s">
        <v>55</v>
      </c>
      <c r="B102" s="1">
        <v>3</v>
      </c>
      <c r="C102" s="1" t="s">
        <v>95</v>
      </c>
      <c r="D102" s="1">
        <v>3</v>
      </c>
      <c r="E102" s="1">
        <f t="shared" ca="1" si="39"/>
        <v>3</v>
      </c>
      <c r="F102" s="1">
        <f t="shared" ca="1" si="40"/>
        <v>7</v>
      </c>
      <c r="G102" s="1">
        <f t="shared" ca="1" si="41"/>
        <v>10</v>
      </c>
      <c r="H102" s="1" t="str">
        <f t="shared" ca="1" si="42"/>
        <v>F</v>
      </c>
      <c r="I102" s="1" t="str">
        <f t="shared" ca="1" si="43"/>
        <v>A</v>
      </c>
      <c r="J102" s="1" t="str">
        <f t="shared" ca="1" si="44"/>
        <v>C</v>
      </c>
      <c r="K102" s="1" t="str">
        <f t="shared" ca="1" si="45"/>
        <v>ACF</v>
      </c>
      <c r="L102" s="1" t="str">
        <f t="shared" ca="1" si="46"/>
        <v>F</v>
      </c>
      <c r="M102" s="1" t="str">
        <f t="shared" ca="1" si="47"/>
        <v>A</v>
      </c>
      <c r="N102" s="1" t="str">
        <f t="shared" ca="1" si="48"/>
        <v>C</v>
      </c>
      <c r="O102" s="1" t="str">
        <f t="shared" ca="1" si="49"/>
        <v>ACF</v>
      </c>
    </row>
    <row r="103" spans="1:15">
      <c r="A103" s="1" t="s">
        <v>55</v>
      </c>
      <c r="B103" s="1">
        <v>3</v>
      </c>
      <c r="C103" s="1" t="s">
        <v>95</v>
      </c>
      <c r="D103" s="1">
        <v>4</v>
      </c>
      <c r="E103" s="1">
        <f t="shared" ca="1" si="39"/>
        <v>5</v>
      </c>
      <c r="F103" s="1">
        <f t="shared" ca="1" si="40"/>
        <v>8</v>
      </c>
      <c r="G103" s="1">
        <f t="shared" ca="1" si="41"/>
        <v>0</v>
      </c>
      <c r="H103" s="1" t="str">
        <f t="shared" ca="1" si="42"/>
        <v>G</v>
      </c>
      <c r="I103" s="1" t="str">
        <f t="shared" ca="1" si="43"/>
        <v>A#</v>
      </c>
      <c r="J103" s="1" t="str">
        <f t="shared" ca="1" si="44"/>
        <v>D</v>
      </c>
      <c r="K103" s="1" t="str">
        <f t="shared" ca="1" si="45"/>
        <v>A#DG</v>
      </c>
      <c r="L103" s="1" t="str">
        <f t="shared" ca="1" si="46"/>
        <v>G</v>
      </c>
      <c r="M103" s="1" t="str">
        <f t="shared" ca="1" si="47"/>
        <v>Bb</v>
      </c>
      <c r="N103" s="1" t="str">
        <f t="shared" ca="1" si="48"/>
        <v>D</v>
      </c>
      <c r="O103" s="1" t="str">
        <f t="shared" ca="1" si="49"/>
        <v>BbDG</v>
      </c>
    </row>
    <row r="104" spans="1:15">
      <c r="A104" s="1" t="s">
        <v>55</v>
      </c>
      <c r="B104" s="1">
        <v>3</v>
      </c>
      <c r="C104" s="1" t="s">
        <v>95</v>
      </c>
      <c r="D104" s="1">
        <v>5</v>
      </c>
      <c r="E104" s="1">
        <f t="shared" ca="1" si="39"/>
        <v>7</v>
      </c>
      <c r="F104" s="1">
        <f t="shared" ca="1" si="40"/>
        <v>10</v>
      </c>
      <c r="G104" s="1">
        <f t="shared" ca="1" si="41"/>
        <v>2</v>
      </c>
      <c r="H104" s="1" t="str">
        <f t="shared" ca="1" si="42"/>
        <v>A</v>
      </c>
      <c r="I104" s="1" t="str">
        <f t="shared" ca="1" si="43"/>
        <v>C</v>
      </c>
      <c r="J104" s="1" t="str">
        <f t="shared" ca="1" si="44"/>
        <v>E</v>
      </c>
      <c r="K104" s="1" t="str">
        <f t="shared" ca="1" si="45"/>
        <v>ACE</v>
      </c>
      <c r="L104" s="1" t="str">
        <f t="shared" ca="1" si="46"/>
        <v>A</v>
      </c>
      <c r="M104" s="1" t="str">
        <f t="shared" ca="1" si="47"/>
        <v>C</v>
      </c>
      <c r="N104" s="1" t="str">
        <f t="shared" ca="1" si="48"/>
        <v>E</v>
      </c>
      <c r="O104" s="1" t="str">
        <f t="shared" ca="1" si="49"/>
        <v>ACE</v>
      </c>
    </row>
    <row r="105" spans="1:15">
      <c r="A105" s="1" t="s">
        <v>55</v>
      </c>
      <c r="B105" s="1">
        <v>3</v>
      </c>
      <c r="C105" s="1" t="s">
        <v>95</v>
      </c>
      <c r="D105" s="1">
        <v>6</v>
      </c>
      <c r="E105" s="1">
        <f t="shared" ca="1" si="39"/>
        <v>8</v>
      </c>
      <c r="F105" s="1">
        <f t="shared" ca="1" si="40"/>
        <v>0</v>
      </c>
      <c r="G105" s="1">
        <f t="shared" ca="1" si="41"/>
        <v>3</v>
      </c>
      <c r="H105" s="1" t="str">
        <f t="shared" ca="1" si="42"/>
        <v>A#</v>
      </c>
      <c r="I105" s="1" t="str">
        <f t="shared" ca="1" si="43"/>
        <v>D</v>
      </c>
      <c r="J105" s="1" t="str">
        <f t="shared" ca="1" si="44"/>
        <v>F</v>
      </c>
      <c r="K105" s="1" t="str">
        <f t="shared" ca="1" si="45"/>
        <v>A#DF</v>
      </c>
      <c r="L105" s="1" t="str">
        <f t="shared" ca="1" si="46"/>
        <v>Bb</v>
      </c>
      <c r="M105" s="1" t="str">
        <f t="shared" ca="1" si="47"/>
        <v>D</v>
      </c>
      <c r="N105" s="1" t="str">
        <f t="shared" ca="1" si="48"/>
        <v>F</v>
      </c>
      <c r="O105" s="1" t="str">
        <f t="shared" ca="1" si="49"/>
        <v>BbDF</v>
      </c>
    </row>
    <row r="106" spans="1:15">
      <c r="A106" s="1" t="s">
        <v>55</v>
      </c>
      <c r="B106" s="1">
        <v>3</v>
      </c>
      <c r="C106" s="1" t="s">
        <v>95</v>
      </c>
      <c r="D106" s="1">
        <v>7</v>
      </c>
      <c r="E106" s="1">
        <f t="shared" ca="1" si="39"/>
        <v>10</v>
      </c>
      <c r="F106" s="1">
        <f t="shared" ca="1" si="40"/>
        <v>2</v>
      </c>
      <c r="G106" s="1">
        <f t="shared" ca="1" si="41"/>
        <v>5</v>
      </c>
      <c r="H106" s="1" t="str">
        <f t="shared" ca="1" si="42"/>
        <v>C</v>
      </c>
      <c r="I106" s="1" t="str">
        <f t="shared" ca="1" si="43"/>
        <v>E</v>
      </c>
      <c r="J106" s="1" t="str">
        <f t="shared" ca="1" si="44"/>
        <v>G</v>
      </c>
      <c r="K106" s="1" t="str">
        <f t="shared" ca="1" si="45"/>
        <v>CEG</v>
      </c>
      <c r="L106" s="1" t="str">
        <f t="shared" ca="1" si="46"/>
        <v>C</v>
      </c>
      <c r="M106" s="1" t="str">
        <f t="shared" ca="1" si="47"/>
        <v>E</v>
      </c>
      <c r="N106" s="1" t="str">
        <f t="shared" ca="1" si="48"/>
        <v>G</v>
      </c>
      <c r="O106" s="1" t="str">
        <f t="shared" ca="1" si="49"/>
        <v>CEG</v>
      </c>
    </row>
    <row r="107" spans="1:15">
      <c r="A107" s="1" t="s">
        <v>59</v>
      </c>
      <c r="B107" s="1">
        <v>4</v>
      </c>
      <c r="C107" s="1" t="s">
        <v>95</v>
      </c>
      <c r="D107" s="1">
        <v>1</v>
      </c>
      <c r="E107" s="1">
        <f t="shared" ca="1" si="39"/>
        <v>0</v>
      </c>
      <c r="F107" s="1">
        <f t="shared" ca="1" si="40"/>
        <v>3</v>
      </c>
      <c r="G107" s="1">
        <f t="shared" ca="1" si="41"/>
        <v>7</v>
      </c>
      <c r="H107" s="1" t="str">
        <f t="shared" ca="1" si="42"/>
        <v>D#</v>
      </c>
      <c r="I107" s="1" t="str">
        <f t="shared" ca="1" si="43"/>
        <v>F#</v>
      </c>
      <c r="J107" s="1" t="str">
        <f t="shared" ca="1" si="44"/>
        <v>A#</v>
      </c>
      <c r="K107" s="1" t="str">
        <f t="shared" ca="1" si="45"/>
        <v>A#D#F#</v>
      </c>
      <c r="L107" s="1" t="str">
        <f t="shared" ca="1" si="46"/>
        <v>Eb</v>
      </c>
      <c r="M107" s="1" t="str">
        <f t="shared" ca="1" si="47"/>
        <v>Gb</v>
      </c>
      <c r="N107" s="1" t="str">
        <f t="shared" ca="1" si="48"/>
        <v>Bb</v>
      </c>
      <c r="O107" s="1" t="str">
        <f t="shared" ca="1" si="49"/>
        <v>BbEbGb</v>
      </c>
    </row>
    <row r="108" spans="1:15">
      <c r="A108" s="1" t="s">
        <v>59</v>
      </c>
      <c r="B108" s="1">
        <v>4</v>
      </c>
      <c r="C108" s="1" t="s">
        <v>95</v>
      </c>
      <c r="D108" s="1">
        <v>2</v>
      </c>
      <c r="E108" s="1">
        <f t="shared" ca="1" si="39"/>
        <v>2</v>
      </c>
      <c r="F108" s="1">
        <f t="shared" ca="1" si="40"/>
        <v>5</v>
      </c>
      <c r="G108" s="1">
        <f t="shared" ca="1" si="41"/>
        <v>8</v>
      </c>
      <c r="H108" s="1" t="str">
        <f t="shared" ca="1" si="42"/>
        <v>F</v>
      </c>
      <c r="I108" s="1" t="str">
        <f t="shared" ca="1" si="43"/>
        <v>G#</v>
      </c>
      <c r="J108" s="1" t="str">
        <f t="shared" ca="1" si="44"/>
        <v>B</v>
      </c>
      <c r="K108" s="1" t="str">
        <f t="shared" ca="1" si="45"/>
        <v>BFG#</v>
      </c>
      <c r="L108" s="1" t="str">
        <f t="shared" ca="1" si="46"/>
        <v>F</v>
      </c>
      <c r="M108" s="1" t="str">
        <f t="shared" ca="1" si="47"/>
        <v>Ab</v>
      </c>
      <c r="N108" s="1" t="str">
        <f t="shared" ca="1" si="48"/>
        <v>B</v>
      </c>
      <c r="O108" s="1" t="str">
        <f t="shared" ca="1" si="49"/>
        <v>AbBF</v>
      </c>
    </row>
    <row r="109" spans="1:15">
      <c r="A109" s="1" t="s">
        <v>59</v>
      </c>
      <c r="B109" s="1">
        <v>4</v>
      </c>
      <c r="C109" s="1" t="s">
        <v>95</v>
      </c>
      <c r="D109" s="1">
        <v>3</v>
      </c>
      <c r="E109" s="1">
        <f t="shared" ca="1" si="39"/>
        <v>3</v>
      </c>
      <c r="F109" s="1">
        <f t="shared" ca="1" si="40"/>
        <v>7</v>
      </c>
      <c r="G109" s="1">
        <f t="shared" ca="1" si="41"/>
        <v>10</v>
      </c>
      <c r="H109" s="1" t="str">
        <f t="shared" ca="1" si="42"/>
        <v>F#</v>
      </c>
      <c r="I109" s="1" t="str">
        <f t="shared" ca="1" si="43"/>
        <v>A#</v>
      </c>
      <c r="J109" s="1" t="str">
        <f t="shared" ca="1" si="44"/>
        <v>C#</v>
      </c>
      <c r="K109" s="1" t="str">
        <f t="shared" ca="1" si="45"/>
        <v>A#C#F#</v>
      </c>
      <c r="L109" s="1" t="str">
        <f t="shared" ca="1" si="46"/>
        <v>Gb</v>
      </c>
      <c r="M109" s="1" t="str">
        <f t="shared" ca="1" si="47"/>
        <v>Bb</v>
      </c>
      <c r="N109" s="1" t="str">
        <f t="shared" ca="1" si="48"/>
        <v>Db</v>
      </c>
      <c r="O109" s="1" t="str">
        <f t="shared" ca="1" si="49"/>
        <v>BbDbGb</v>
      </c>
    </row>
    <row r="110" spans="1:15">
      <c r="A110" s="1" t="s">
        <v>59</v>
      </c>
      <c r="B110" s="1">
        <v>4</v>
      </c>
      <c r="C110" s="1" t="s">
        <v>95</v>
      </c>
      <c r="D110" s="1">
        <v>4</v>
      </c>
      <c r="E110" s="1">
        <f t="shared" ca="1" si="39"/>
        <v>5</v>
      </c>
      <c r="F110" s="1">
        <f t="shared" ca="1" si="40"/>
        <v>8</v>
      </c>
      <c r="G110" s="1">
        <f t="shared" ca="1" si="41"/>
        <v>0</v>
      </c>
      <c r="H110" s="1" t="str">
        <f t="shared" ca="1" si="42"/>
        <v>G#</v>
      </c>
      <c r="I110" s="1" t="str">
        <f t="shared" ca="1" si="43"/>
        <v>B</v>
      </c>
      <c r="J110" s="1" t="str">
        <f t="shared" ca="1" si="44"/>
        <v>D#</v>
      </c>
      <c r="K110" s="1" t="str">
        <f t="shared" ca="1" si="45"/>
        <v>BD#G#</v>
      </c>
      <c r="L110" s="1" t="str">
        <f t="shared" ca="1" si="46"/>
        <v>Ab</v>
      </c>
      <c r="M110" s="1" t="str">
        <f t="shared" ca="1" si="47"/>
        <v>B</v>
      </c>
      <c r="N110" s="1" t="str">
        <f t="shared" ca="1" si="48"/>
        <v>Eb</v>
      </c>
      <c r="O110" s="1" t="str">
        <f t="shared" ca="1" si="49"/>
        <v>AbBEb</v>
      </c>
    </row>
    <row r="111" spans="1:15">
      <c r="A111" s="1" t="s">
        <v>59</v>
      </c>
      <c r="B111" s="1">
        <v>4</v>
      </c>
      <c r="C111" s="1" t="s">
        <v>95</v>
      </c>
      <c r="D111" s="1">
        <v>5</v>
      </c>
      <c r="E111" s="1">
        <f t="shared" ca="1" si="39"/>
        <v>7</v>
      </c>
      <c r="F111" s="1">
        <f t="shared" ca="1" si="40"/>
        <v>10</v>
      </c>
      <c r="G111" s="1">
        <f t="shared" ca="1" si="41"/>
        <v>2</v>
      </c>
      <c r="H111" s="1" t="str">
        <f t="shared" ca="1" si="42"/>
        <v>A#</v>
      </c>
      <c r="I111" s="1" t="str">
        <f t="shared" ca="1" si="43"/>
        <v>C#</v>
      </c>
      <c r="J111" s="1" t="str">
        <f t="shared" ca="1" si="44"/>
        <v>F</v>
      </c>
      <c r="K111" s="1" t="str">
        <f t="shared" ca="1" si="45"/>
        <v>A#C#F</v>
      </c>
      <c r="L111" s="1" t="str">
        <f t="shared" ca="1" si="46"/>
        <v>Bb</v>
      </c>
      <c r="M111" s="1" t="str">
        <f t="shared" ca="1" si="47"/>
        <v>Db</v>
      </c>
      <c r="N111" s="1" t="str">
        <f t="shared" ca="1" si="48"/>
        <v>F</v>
      </c>
      <c r="O111" s="1" t="str">
        <f t="shared" ca="1" si="49"/>
        <v>BbDbF</v>
      </c>
    </row>
    <row r="112" spans="1:15">
      <c r="A112" s="1" t="s">
        <v>59</v>
      </c>
      <c r="B112" s="1">
        <v>4</v>
      </c>
      <c r="C112" s="1" t="s">
        <v>95</v>
      </c>
      <c r="D112" s="1">
        <v>6</v>
      </c>
      <c r="E112" s="1">
        <f t="shared" ca="1" si="39"/>
        <v>8</v>
      </c>
      <c r="F112" s="1">
        <f t="shared" ca="1" si="40"/>
        <v>0</v>
      </c>
      <c r="G112" s="1">
        <f t="shared" ca="1" si="41"/>
        <v>3</v>
      </c>
      <c r="H112" s="1" t="str">
        <f t="shared" ca="1" si="42"/>
        <v>B</v>
      </c>
      <c r="I112" s="1" t="str">
        <f t="shared" ca="1" si="43"/>
        <v>D#</v>
      </c>
      <c r="J112" s="1" t="str">
        <f t="shared" ca="1" si="44"/>
        <v>F#</v>
      </c>
      <c r="K112" s="1" t="str">
        <f t="shared" ca="1" si="45"/>
        <v>BD#F#</v>
      </c>
      <c r="L112" s="1" t="str">
        <f t="shared" ca="1" si="46"/>
        <v>B</v>
      </c>
      <c r="M112" s="1" t="str">
        <f t="shared" ca="1" si="47"/>
        <v>Eb</v>
      </c>
      <c r="N112" s="1" t="str">
        <f t="shared" ca="1" si="48"/>
        <v>Gb</v>
      </c>
      <c r="O112" s="1" t="str">
        <f t="shared" ca="1" si="49"/>
        <v>BEbGb</v>
      </c>
    </row>
    <row r="113" spans="1:15">
      <c r="A113" s="1" t="s">
        <v>59</v>
      </c>
      <c r="B113" s="1">
        <v>4</v>
      </c>
      <c r="C113" s="1" t="s">
        <v>95</v>
      </c>
      <c r="D113" s="1">
        <v>7</v>
      </c>
      <c r="E113" s="1">
        <f t="shared" ca="1" si="39"/>
        <v>10</v>
      </c>
      <c r="F113" s="1">
        <f t="shared" ca="1" si="40"/>
        <v>2</v>
      </c>
      <c r="G113" s="1">
        <f t="shared" ca="1" si="41"/>
        <v>5</v>
      </c>
      <c r="H113" s="1" t="str">
        <f t="shared" ca="1" si="42"/>
        <v>C#</v>
      </c>
      <c r="I113" s="1" t="str">
        <f t="shared" ca="1" si="43"/>
        <v>F</v>
      </c>
      <c r="J113" s="1" t="str">
        <f t="shared" ca="1" si="44"/>
        <v>G#</v>
      </c>
      <c r="K113" s="1" t="str">
        <f t="shared" ca="1" si="45"/>
        <v>C#FG#</v>
      </c>
      <c r="L113" s="1" t="str">
        <f t="shared" ca="1" si="46"/>
        <v>Db</v>
      </c>
      <c r="M113" s="1" t="str">
        <f t="shared" ca="1" si="47"/>
        <v>F</v>
      </c>
      <c r="N113" s="1" t="str">
        <f t="shared" ca="1" si="48"/>
        <v>Ab</v>
      </c>
      <c r="O113" s="1" t="str">
        <f t="shared" ca="1" si="49"/>
        <v>AbDbF</v>
      </c>
    </row>
    <row r="114" spans="1:15">
      <c r="A114" s="1" t="s">
        <v>56</v>
      </c>
      <c r="B114" s="1">
        <v>5</v>
      </c>
      <c r="C114" s="1" t="s">
        <v>95</v>
      </c>
      <c r="D114" s="1">
        <v>1</v>
      </c>
      <c r="E114" s="1">
        <f t="shared" ca="1" si="39"/>
        <v>0</v>
      </c>
      <c r="F114" s="1">
        <f t="shared" ca="1" si="40"/>
        <v>3</v>
      </c>
      <c r="G114" s="1">
        <f t="shared" ca="1" si="41"/>
        <v>7</v>
      </c>
      <c r="H114" s="1" t="str">
        <f t="shared" ca="1" si="42"/>
        <v>E</v>
      </c>
      <c r="I114" s="1" t="str">
        <f t="shared" ca="1" si="43"/>
        <v>G</v>
      </c>
      <c r="J114" s="1" t="str">
        <f t="shared" ca="1" si="44"/>
        <v>B</v>
      </c>
      <c r="K114" s="1" t="str">
        <f t="shared" ca="1" si="45"/>
        <v>BEG</v>
      </c>
      <c r="L114" s="1" t="str">
        <f t="shared" ca="1" si="46"/>
        <v>E</v>
      </c>
      <c r="M114" s="1" t="str">
        <f t="shared" ca="1" si="47"/>
        <v>G</v>
      </c>
      <c r="N114" s="1" t="str">
        <f t="shared" ca="1" si="48"/>
        <v>B</v>
      </c>
      <c r="O114" s="1" t="str">
        <f t="shared" ca="1" si="49"/>
        <v>BEG</v>
      </c>
    </row>
    <row r="115" spans="1:15">
      <c r="A115" s="1" t="s">
        <v>56</v>
      </c>
      <c r="B115" s="1">
        <v>5</v>
      </c>
      <c r="C115" s="1" t="s">
        <v>95</v>
      </c>
      <c r="D115" s="1">
        <v>2</v>
      </c>
      <c r="E115" s="1">
        <f t="shared" ca="1" si="39"/>
        <v>2</v>
      </c>
      <c r="F115" s="1">
        <f t="shared" ca="1" si="40"/>
        <v>5</v>
      </c>
      <c r="G115" s="1">
        <f t="shared" ca="1" si="41"/>
        <v>8</v>
      </c>
      <c r="H115" s="1" t="str">
        <f t="shared" ca="1" si="42"/>
        <v>F#</v>
      </c>
      <c r="I115" s="1" t="str">
        <f t="shared" ca="1" si="43"/>
        <v>A</v>
      </c>
      <c r="J115" s="1" t="str">
        <f t="shared" ca="1" si="44"/>
        <v>C</v>
      </c>
      <c r="K115" s="1" t="str">
        <f t="shared" ca="1" si="45"/>
        <v>ACF#</v>
      </c>
      <c r="L115" s="1" t="str">
        <f t="shared" ca="1" si="46"/>
        <v>Gb</v>
      </c>
      <c r="M115" s="1" t="str">
        <f t="shared" ca="1" si="47"/>
        <v>A</v>
      </c>
      <c r="N115" s="1" t="str">
        <f t="shared" ca="1" si="48"/>
        <v>C</v>
      </c>
      <c r="O115" s="1" t="str">
        <f t="shared" ca="1" si="49"/>
        <v>ACGb</v>
      </c>
    </row>
    <row r="116" spans="1:15">
      <c r="A116" s="1" t="s">
        <v>56</v>
      </c>
      <c r="B116" s="1">
        <v>5</v>
      </c>
      <c r="C116" s="1" t="s">
        <v>95</v>
      </c>
      <c r="D116" s="1">
        <v>3</v>
      </c>
      <c r="E116" s="1">
        <f t="shared" ca="1" si="39"/>
        <v>3</v>
      </c>
      <c r="F116" s="1">
        <f t="shared" ca="1" si="40"/>
        <v>7</v>
      </c>
      <c r="G116" s="1">
        <f t="shared" ca="1" si="41"/>
        <v>10</v>
      </c>
      <c r="H116" s="1" t="str">
        <f t="shared" ca="1" si="42"/>
        <v>G</v>
      </c>
      <c r="I116" s="1" t="str">
        <f t="shared" ca="1" si="43"/>
        <v>B</v>
      </c>
      <c r="J116" s="1" t="str">
        <f t="shared" ca="1" si="44"/>
        <v>D</v>
      </c>
      <c r="K116" s="1" t="str">
        <f t="shared" ca="1" si="45"/>
        <v>BDG</v>
      </c>
      <c r="L116" s="1" t="str">
        <f t="shared" ca="1" si="46"/>
        <v>G</v>
      </c>
      <c r="M116" s="1" t="str">
        <f t="shared" ca="1" si="47"/>
        <v>B</v>
      </c>
      <c r="N116" s="1" t="str">
        <f t="shared" ca="1" si="48"/>
        <v>D</v>
      </c>
      <c r="O116" s="1" t="str">
        <f t="shared" ca="1" si="49"/>
        <v>BDG</v>
      </c>
    </row>
    <row r="117" spans="1:15">
      <c r="A117" s="1" t="s">
        <v>56</v>
      </c>
      <c r="B117" s="1">
        <v>5</v>
      </c>
      <c r="C117" s="1" t="s">
        <v>95</v>
      </c>
      <c r="D117" s="1">
        <v>4</v>
      </c>
      <c r="E117" s="1">
        <f t="shared" ca="1" si="39"/>
        <v>5</v>
      </c>
      <c r="F117" s="1">
        <f t="shared" ca="1" si="40"/>
        <v>8</v>
      </c>
      <c r="G117" s="1">
        <f t="shared" ca="1" si="41"/>
        <v>0</v>
      </c>
      <c r="H117" s="1" t="str">
        <f t="shared" ca="1" si="42"/>
        <v>A</v>
      </c>
      <c r="I117" s="1" t="str">
        <f t="shared" ca="1" si="43"/>
        <v>C</v>
      </c>
      <c r="J117" s="1" t="str">
        <f t="shared" ca="1" si="44"/>
        <v>E</v>
      </c>
      <c r="K117" s="1" t="str">
        <f t="shared" ca="1" si="45"/>
        <v>ACE</v>
      </c>
      <c r="L117" s="1" t="str">
        <f t="shared" ca="1" si="46"/>
        <v>A</v>
      </c>
      <c r="M117" s="1" t="str">
        <f t="shared" ca="1" si="47"/>
        <v>C</v>
      </c>
      <c r="N117" s="1" t="str">
        <f t="shared" ca="1" si="48"/>
        <v>E</v>
      </c>
      <c r="O117" s="1" t="str">
        <f t="shared" ca="1" si="49"/>
        <v>ACE</v>
      </c>
    </row>
    <row r="118" spans="1:15">
      <c r="A118" s="1" t="s">
        <v>56</v>
      </c>
      <c r="B118" s="1">
        <v>5</v>
      </c>
      <c r="C118" s="1" t="s">
        <v>95</v>
      </c>
      <c r="D118" s="1">
        <v>5</v>
      </c>
      <c r="E118" s="1">
        <f t="shared" ca="1" si="39"/>
        <v>7</v>
      </c>
      <c r="F118" s="1">
        <f t="shared" ca="1" si="40"/>
        <v>10</v>
      </c>
      <c r="G118" s="1">
        <f t="shared" ca="1" si="41"/>
        <v>2</v>
      </c>
      <c r="H118" s="1" t="str">
        <f t="shared" ca="1" si="42"/>
        <v>B</v>
      </c>
      <c r="I118" s="1" t="str">
        <f t="shared" ca="1" si="43"/>
        <v>D</v>
      </c>
      <c r="J118" s="1" t="str">
        <f t="shared" ca="1" si="44"/>
        <v>F#</v>
      </c>
      <c r="K118" s="1" t="str">
        <f t="shared" ca="1" si="45"/>
        <v>BDF#</v>
      </c>
      <c r="L118" s="1" t="str">
        <f t="shared" ca="1" si="46"/>
        <v>B</v>
      </c>
      <c r="M118" s="1" t="str">
        <f t="shared" ca="1" si="47"/>
        <v>D</v>
      </c>
      <c r="N118" s="1" t="str">
        <f t="shared" ca="1" si="48"/>
        <v>Gb</v>
      </c>
      <c r="O118" s="1" t="str">
        <f t="shared" ca="1" si="49"/>
        <v>BDGb</v>
      </c>
    </row>
    <row r="119" spans="1:15">
      <c r="A119" s="1" t="s">
        <v>56</v>
      </c>
      <c r="B119" s="1">
        <v>5</v>
      </c>
      <c r="C119" s="1" t="s">
        <v>95</v>
      </c>
      <c r="D119" s="1">
        <v>6</v>
      </c>
      <c r="E119" s="1">
        <f t="shared" ca="1" si="39"/>
        <v>8</v>
      </c>
      <c r="F119" s="1">
        <f t="shared" ca="1" si="40"/>
        <v>0</v>
      </c>
      <c r="G119" s="1">
        <f t="shared" ca="1" si="41"/>
        <v>3</v>
      </c>
      <c r="H119" s="1" t="str">
        <f t="shared" ca="1" si="42"/>
        <v>C</v>
      </c>
      <c r="I119" s="1" t="str">
        <f t="shared" ca="1" si="43"/>
        <v>E</v>
      </c>
      <c r="J119" s="1" t="str">
        <f t="shared" ca="1" si="44"/>
        <v>G</v>
      </c>
      <c r="K119" s="1" t="str">
        <f t="shared" ca="1" si="45"/>
        <v>CEG</v>
      </c>
      <c r="L119" s="1" t="str">
        <f t="shared" ca="1" si="46"/>
        <v>C</v>
      </c>
      <c r="M119" s="1" t="str">
        <f t="shared" ca="1" si="47"/>
        <v>E</v>
      </c>
      <c r="N119" s="1" t="str">
        <f t="shared" ca="1" si="48"/>
        <v>G</v>
      </c>
      <c r="O119" s="1" t="str">
        <f t="shared" ca="1" si="49"/>
        <v>CEG</v>
      </c>
    </row>
    <row r="120" spans="1:15">
      <c r="A120" s="1" t="s">
        <v>56</v>
      </c>
      <c r="B120" s="1">
        <v>5</v>
      </c>
      <c r="C120" s="1" t="s">
        <v>95</v>
      </c>
      <c r="D120" s="1">
        <v>7</v>
      </c>
      <c r="E120" s="1">
        <f t="shared" ca="1" si="39"/>
        <v>10</v>
      </c>
      <c r="F120" s="1">
        <f t="shared" ca="1" si="40"/>
        <v>2</v>
      </c>
      <c r="G120" s="1">
        <f t="shared" ca="1" si="41"/>
        <v>5</v>
      </c>
      <c r="H120" s="1" t="str">
        <f t="shared" ca="1" si="42"/>
        <v>D</v>
      </c>
      <c r="I120" s="1" t="str">
        <f t="shared" ca="1" si="43"/>
        <v>F#</v>
      </c>
      <c r="J120" s="1" t="str">
        <f t="shared" ca="1" si="44"/>
        <v>A</v>
      </c>
      <c r="K120" s="1" t="str">
        <f t="shared" ca="1" si="45"/>
        <v>ADF#</v>
      </c>
      <c r="L120" s="1" t="str">
        <f t="shared" ca="1" si="46"/>
        <v>D</v>
      </c>
      <c r="M120" s="1" t="str">
        <f t="shared" ca="1" si="47"/>
        <v>Gb</v>
      </c>
      <c r="N120" s="1" t="str">
        <f t="shared" ca="1" si="48"/>
        <v>A</v>
      </c>
      <c r="O120" s="1" t="str">
        <f t="shared" ca="1" si="49"/>
        <v>ADGb</v>
      </c>
    </row>
    <row r="121" spans="1:15">
      <c r="A121" s="1" t="s">
        <v>60</v>
      </c>
      <c r="B121" s="1">
        <v>6</v>
      </c>
      <c r="C121" s="1" t="s">
        <v>95</v>
      </c>
      <c r="D121" s="1">
        <v>1</v>
      </c>
      <c r="E121" s="1">
        <f t="shared" ca="1" si="39"/>
        <v>0</v>
      </c>
      <c r="F121" s="1">
        <f t="shared" ca="1" si="40"/>
        <v>3</v>
      </c>
      <c r="G121" s="1">
        <f t="shared" ca="1" si="41"/>
        <v>7</v>
      </c>
      <c r="H121" s="1" t="str">
        <f t="shared" ca="1" si="42"/>
        <v>F</v>
      </c>
      <c r="I121" s="1" t="str">
        <f t="shared" ca="1" si="43"/>
        <v>G#</v>
      </c>
      <c r="J121" s="1" t="str">
        <f t="shared" ca="1" si="44"/>
        <v>C</v>
      </c>
      <c r="K121" s="1" t="str">
        <f t="shared" ca="1" si="45"/>
        <v>CFG#</v>
      </c>
      <c r="L121" s="1" t="str">
        <f t="shared" ca="1" si="46"/>
        <v>F</v>
      </c>
      <c r="M121" s="1" t="str">
        <f t="shared" ca="1" si="47"/>
        <v>Ab</v>
      </c>
      <c r="N121" s="1" t="str">
        <f t="shared" ca="1" si="48"/>
        <v>C</v>
      </c>
      <c r="O121" s="1" t="str">
        <f t="shared" ca="1" si="49"/>
        <v>AbCF</v>
      </c>
    </row>
    <row r="122" spans="1:15">
      <c r="A122" s="1" t="s">
        <v>60</v>
      </c>
      <c r="B122" s="1">
        <v>6</v>
      </c>
      <c r="C122" s="1" t="s">
        <v>95</v>
      </c>
      <c r="D122" s="1">
        <v>2</v>
      </c>
      <c r="E122" s="1">
        <f t="shared" ca="1" si="39"/>
        <v>2</v>
      </c>
      <c r="F122" s="1">
        <f t="shared" ca="1" si="40"/>
        <v>5</v>
      </c>
      <c r="G122" s="1">
        <f t="shared" ca="1" si="41"/>
        <v>8</v>
      </c>
      <c r="H122" s="1" t="str">
        <f t="shared" ca="1" si="42"/>
        <v>G</v>
      </c>
      <c r="I122" s="1" t="str">
        <f t="shared" ca="1" si="43"/>
        <v>A#</v>
      </c>
      <c r="J122" s="1" t="str">
        <f t="shared" ca="1" si="44"/>
        <v>C#</v>
      </c>
      <c r="K122" s="1" t="str">
        <f t="shared" ca="1" si="45"/>
        <v>A#C#G</v>
      </c>
      <c r="L122" s="1" t="str">
        <f t="shared" ca="1" si="46"/>
        <v>G</v>
      </c>
      <c r="M122" s="1" t="str">
        <f t="shared" ca="1" si="47"/>
        <v>Bb</v>
      </c>
      <c r="N122" s="1" t="str">
        <f t="shared" ca="1" si="48"/>
        <v>Db</v>
      </c>
      <c r="O122" s="1" t="str">
        <f t="shared" ca="1" si="49"/>
        <v>BbDbG</v>
      </c>
    </row>
    <row r="123" spans="1:15">
      <c r="A123" s="1" t="s">
        <v>60</v>
      </c>
      <c r="B123" s="1">
        <v>6</v>
      </c>
      <c r="C123" s="1" t="s">
        <v>95</v>
      </c>
      <c r="D123" s="1">
        <v>3</v>
      </c>
      <c r="E123" s="1">
        <f t="shared" ca="1" si="39"/>
        <v>3</v>
      </c>
      <c r="F123" s="1">
        <f t="shared" ca="1" si="40"/>
        <v>7</v>
      </c>
      <c r="G123" s="1">
        <f t="shared" ca="1" si="41"/>
        <v>10</v>
      </c>
      <c r="H123" s="1" t="str">
        <f t="shared" ca="1" si="42"/>
        <v>G#</v>
      </c>
      <c r="I123" s="1" t="str">
        <f t="shared" ca="1" si="43"/>
        <v>C</v>
      </c>
      <c r="J123" s="1" t="str">
        <f t="shared" ca="1" si="44"/>
        <v>D#</v>
      </c>
      <c r="K123" s="1" t="str">
        <f t="shared" ca="1" si="45"/>
        <v>CD#G#</v>
      </c>
      <c r="L123" s="1" t="str">
        <f t="shared" ca="1" si="46"/>
        <v>Ab</v>
      </c>
      <c r="M123" s="1" t="str">
        <f t="shared" ca="1" si="47"/>
        <v>C</v>
      </c>
      <c r="N123" s="1" t="str">
        <f t="shared" ca="1" si="48"/>
        <v>Eb</v>
      </c>
      <c r="O123" s="1" t="str">
        <f t="shared" ca="1" si="49"/>
        <v>AbCEb</v>
      </c>
    </row>
    <row r="124" spans="1:15">
      <c r="A124" s="1" t="s">
        <v>60</v>
      </c>
      <c r="B124" s="1">
        <v>6</v>
      </c>
      <c r="C124" s="1" t="s">
        <v>95</v>
      </c>
      <c r="D124" s="1">
        <v>4</v>
      </c>
      <c r="E124" s="1">
        <f t="shared" ca="1" si="39"/>
        <v>5</v>
      </c>
      <c r="F124" s="1">
        <f t="shared" ca="1" si="40"/>
        <v>8</v>
      </c>
      <c r="G124" s="1">
        <f t="shared" ca="1" si="41"/>
        <v>0</v>
      </c>
      <c r="H124" s="1" t="str">
        <f t="shared" ca="1" si="42"/>
        <v>A#</v>
      </c>
      <c r="I124" s="1" t="str">
        <f t="shared" ca="1" si="43"/>
        <v>C#</v>
      </c>
      <c r="J124" s="1" t="str">
        <f t="shared" ca="1" si="44"/>
        <v>F</v>
      </c>
      <c r="K124" s="1" t="str">
        <f t="shared" ca="1" si="45"/>
        <v>A#C#F</v>
      </c>
      <c r="L124" s="1" t="str">
        <f t="shared" ca="1" si="46"/>
        <v>Bb</v>
      </c>
      <c r="M124" s="1" t="str">
        <f t="shared" ca="1" si="47"/>
        <v>Db</v>
      </c>
      <c r="N124" s="1" t="str">
        <f t="shared" ca="1" si="48"/>
        <v>F</v>
      </c>
      <c r="O124" s="1" t="str">
        <f t="shared" ca="1" si="49"/>
        <v>BbDbF</v>
      </c>
    </row>
    <row r="125" spans="1:15">
      <c r="A125" s="1" t="s">
        <v>60</v>
      </c>
      <c r="B125" s="1">
        <v>6</v>
      </c>
      <c r="C125" s="1" t="s">
        <v>95</v>
      </c>
      <c r="D125" s="1">
        <v>5</v>
      </c>
      <c r="E125" s="1">
        <f t="shared" ca="1" si="39"/>
        <v>7</v>
      </c>
      <c r="F125" s="1">
        <f t="shared" ca="1" si="40"/>
        <v>10</v>
      </c>
      <c r="G125" s="1">
        <f t="shared" ca="1" si="41"/>
        <v>2</v>
      </c>
      <c r="H125" s="1" t="str">
        <f t="shared" ca="1" si="42"/>
        <v>C</v>
      </c>
      <c r="I125" s="1" t="str">
        <f t="shared" ca="1" si="43"/>
        <v>D#</v>
      </c>
      <c r="J125" s="1" t="str">
        <f t="shared" ca="1" si="44"/>
        <v>G</v>
      </c>
      <c r="K125" s="1" t="str">
        <f t="shared" ca="1" si="45"/>
        <v>CD#G</v>
      </c>
      <c r="L125" s="1" t="str">
        <f t="shared" ca="1" si="46"/>
        <v>C</v>
      </c>
      <c r="M125" s="1" t="str">
        <f t="shared" ca="1" si="47"/>
        <v>Eb</v>
      </c>
      <c r="N125" s="1" t="str">
        <f t="shared" ca="1" si="48"/>
        <v>G</v>
      </c>
      <c r="O125" s="1" t="str">
        <f t="shared" ca="1" si="49"/>
        <v>CEbG</v>
      </c>
    </row>
    <row r="126" spans="1:15">
      <c r="A126" s="1" t="s">
        <v>60</v>
      </c>
      <c r="B126" s="1">
        <v>6</v>
      </c>
      <c r="C126" s="1" t="s">
        <v>95</v>
      </c>
      <c r="D126" s="1">
        <v>6</v>
      </c>
      <c r="E126" s="1">
        <f t="shared" ca="1" si="39"/>
        <v>8</v>
      </c>
      <c r="F126" s="1">
        <f t="shared" ca="1" si="40"/>
        <v>0</v>
      </c>
      <c r="G126" s="1">
        <f t="shared" ca="1" si="41"/>
        <v>3</v>
      </c>
      <c r="H126" s="1" t="str">
        <f t="shared" ca="1" si="42"/>
        <v>C#</v>
      </c>
      <c r="I126" s="1" t="str">
        <f t="shared" ca="1" si="43"/>
        <v>F</v>
      </c>
      <c r="J126" s="1" t="str">
        <f t="shared" ca="1" si="44"/>
        <v>G#</v>
      </c>
      <c r="K126" s="1" t="str">
        <f t="shared" ca="1" si="45"/>
        <v>C#FG#</v>
      </c>
      <c r="L126" s="1" t="str">
        <f t="shared" ca="1" si="46"/>
        <v>Db</v>
      </c>
      <c r="M126" s="1" t="str">
        <f t="shared" ca="1" si="47"/>
        <v>F</v>
      </c>
      <c r="N126" s="1" t="str">
        <f t="shared" ca="1" si="48"/>
        <v>Ab</v>
      </c>
      <c r="O126" s="1" t="str">
        <f t="shared" ca="1" si="49"/>
        <v>AbDbF</v>
      </c>
    </row>
    <row r="127" spans="1:15">
      <c r="A127" s="1" t="s">
        <v>60</v>
      </c>
      <c r="B127" s="1">
        <v>6</v>
      </c>
      <c r="C127" s="1" t="s">
        <v>95</v>
      </c>
      <c r="D127" s="1">
        <v>7</v>
      </c>
      <c r="E127" s="1">
        <f t="shared" ca="1" si="39"/>
        <v>10</v>
      </c>
      <c r="F127" s="1">
        <f t="shared" ca="1" si="40"/>
        <v>2</v>
      </c>
      <c r="G127" s="1">
        <f t="shared" ca="1" si="41"/>
        <v>5</v>
      </c>
      <c r="H127" s="1" t="str">
        <f t="shared" ca="1" si="42"/>
        <v>D#</v>
      </c>
      <c r="I127" s="1" t="str">
        <f t="shared" ca="1" si="43"/>
        <v>G</v>
      </c>
      <c r="J127" s="1" t="str">
        <f t="shared" ca="1" si="44"/>
        <v>A#</v>
      </c>
      <c r="K127" s="1" t="str">
        <f t="shared" ca="1" si="45"/>
        <v>A#D#G</v>
      </c>
      <c r="L127" s="1" t="str">
        <f t="shared" ca="1" si="46"/>
        <v>Eb</v>
      </c>
      <c r="M127" s="1" t="str">
        <f t="shared" ca="1" si="47"/>
        <v>G</v>
      </c>
      <c r="N127" s="1" t="str">
        <f t="shared" ca="1" si="48"/>
        <v>Bb</v>
      </c>
      <c r="O127" s="1" t="str">
        <f t="shared" ca="1" si="49"/>
        <v>BbEbG</v>
      </c>
    </row>
    <row r="128" spans="1:15">
      <c r="A128" s="1" t="s">
        <v>61</v>
      </c>
      <c r="B128" s="1">
        <v>7</v>
      </c>
      <c r="C128" s="1" t="s">
        <v>95</v>
      </c>
      <c r="D128" s="1">
        <v>1</v>
      </c>
      <c r="E128" s="1">
        <f t="shared" ca="1" si="39"/>
        <v>0</v>
      </c>
      <c r="F128" s="1">
        <f t="shared" ca="1" si="40"/>
        <v>3</v>
      </c>
      <c r="G128" s="1">
        <f t="shared" ca="1" si="41"/>
        <v>7</v>
      </c>
      <c r="H128" s="1" t="str">
        <f t="shared" ca="1" si="42"/>
        <v>F#</v>
      </c>
      <c r="I128" s="1" t="str">
        <f t="shared" ca="1" si="43"/>
        <v>A</v>
      </c>
      <c r="J128" s="1" t="str">
        <f t="shared" ca="1" si="44"/>
        <v>C#</v>
      </c>
      <c r="K128" s="1" t="str">
        <f t="shared" ca="1" si="45"/>
        <v>AC#F#</v>
      </c>
      <c r="L128" s="1" t="str">
        <f t="shared" ca="1" si="46"/>
        <v>Gb</v>
      </c>
      <c r="M128" s="1" t="str">
        <f t="shared" ca="1" si="47"/>
        <v>A</v>
      </c>
      <c r="N128" s="1" t="str">
        <f t="shared" ca="1" si="48"/>
        <v>Db</v>
      </c>
      <c r="O128" s="1" t="str">
        <f t="shared" ca="1" si="49"/>
        <v>ADbGb</v>
      </c>
    </row>
    <row r="129" spans="1:15">
      <c r="A129" s="1" t="s">
        <v>61</v>
      </c>
      <c r="B129" s="1">
        <v>7</v>
      </c>
      <c r="C129" s="1" t="s">
        <v>95</v>
      </c>
      <c r="D129" s="1">
        <v>2</v>
      </c>
      <c r="E129" s="1">
        <f t="shared" ca="1" si="39"/>
        <v>2</v>
      </c>
      <c r="F129" s="1">
        <f t="shared" ca="1" si="40"/>
        <v>5</v>
      </c>
      <c r="G129" s="1">
        <f t="shared" ca="1" si="41"/>
        <v>8</v>
      </c>
      <c r="H129" s="1" t="str">
        <f t="shared" ca="1" si="42"/>
        <v>G#</v>
      </c>
      <c r="I129" s="1" t="str">
        <f t="shared" ca="1" si="43"/>
        <v>B</v>
      </c>
      <c r="J129" s="1" t="str">
        <f t="shared" ca="1" si="44"/>
        <v>D</v>
      </c>
      <c r="K129" s="1" t="str">
        <f t="shared" ca="1" si="45"/>
        <v>BDG#</v>
      </c>
      <c r="L129" s="1" t="str">
        <f t="shared" ca="1" si="46"/>
        <v>Ab</v>
      </c>
      <c r="M129" s="1" t="str">
        <f t="shared" ca="1" si="47"/>
        <v>B</v>
      </c>
      <c r="N129" s="1" t="str">
        <f t="shared" ca="1" si="48"/>
        <v>D</v>
      </c>
      <c r="O129" s="1" t="str">
        <f t="shared" ca="1" si="49"/>
        <v>AbBD</v>
      </c>
    </row>
    <row r="130" spans="1:15">
      <c r="A130" s="1" t="s">
        <v>61</v>
      </c>
      <c r="B130" s="1">
        <v>7</v>
      </c>
      <c r="C130" s="1" t="s">
        <v>95</v>
      </c>
      <c r="D130" s="1">
        <v>3</v>
      </c>
      <c r="E130" s="1">
        <f t="shared" ca="1" si="39"/>
        <v>3</v>
      </c>
      <c r="F130" s="1">
        <f t="shared" ca="1" si="40"/>
        <v>7</v>
      </c>
      <c r="G130" s="1">
        <f t="shared" ca="1" si="41"/>
        <v>10</v>
      </c>
      <c r="H130" s="1" t="str">
        <f t="shared" ca="1" si="42"/>
        <v>A</v>
      </c>
      <c r="I130" s="1" t="str">
        <f t="shared" ca="1" si="43"/>
        <v>C#</v>
      </c>
      <c r="J130" s="1" t="str">
        <f t="shared" ca="1" si="44"/>
        <v>E</v>
      </c>
      <c r="K130" s="1" t="str">
        <f t="shared" ca="1" si="45"/>
        <v>AC#E</v>
      </c>
      <c r="L130" s="1" t="str">
        <f t="shared" ca="1" si="46"/>
        <v>A</v>
      </c>
      <c r="M130" s="1" t="str">
        <f t="shared" ca="1" si="47"/>
        <v>Db</v>
      </c>
      <c r="N130" s="1" t="str">
        <f t="shared" ca="1" si="48"/>
        <v>E</v>
      </c>
      <c r="O130" s="1" t="str">
        <f t="shared" ca="1" si="49"/>
        <v>ADbE</v>
      </c>
    </row>
    <row r="131" spans="1:15">
      <c r="A131" s="1" t="s">
        <v>61</v>
      </c>
      <c r="B131" s="1">
        <v>7</v>
      </c>
      <c r="C131" s="1" t="s">
        <v>95</v>
      </c>
      <c r="D131" s="1">
        <v>4</v>
      </c>
      <c r="E131" s="1">
        <f t="shared" ca="1" si="39"/>
        <v>5</v>
      </c>
      <c r="F131" s="1">
        <f t="shared" ca="1" si="40"/>
        <v>8</v>
      </c>
      <c r="G131" s="1">
        <f t="shared" ca="1" si="41"/>
        <v>0</v>
      </c>
      <c r="H131" s="1" t="str">
        <f t="shared" ca="1" si="42"/>
        <v>B</v>
      </c>
      <c r="I131" s="1" t="str">
        <f t="shared" ca="1" si="43"/>
        <v>D</v>
      </c>
      <c r="J131" s="1" t="str">
        <f t="shared" ca="1" si="44"/>
        <v>F#</v>
      </c>
      <c r="K131" s="1" t="str">
        <f t="shared" ca="1" si="45"/>
        <v>BDF#</v>
      </c>
      <c r="L131" s="1" t="str">
        <f t="shared" ca="1" si="46"/>
        <v>B</v>
      </c>
      <c r="M131" s="1" t="str">
        <f t="shared" ca="1" si="47"/>
        <v>D</v>
      </c>
      <c r="N131" s="1" t="str">
        <f t="shared" ca="1" si="48"/>
        <v>Gb</v>
      </c>
      <c r="O131" s="1" t="str">
        <f t="shared" ca="1" si="49"/>
        <v>BDGb</v>
      </c>
    </row>
    <row r="132" spans="1:15">
      <c r="A132" s="1" t="s">
        <v>61</v>
      </c>
      <c r="B132" s="1">
        <v>7</v>
      </c>
      <c r="C132" s="1" t="s">
        <v>95</v>
      </c>
      <c r="D132" s="1">
        <v>5</v>
      </c>
      <c r="E132" s="1">
        <f t="shared" ca="1" si="39"/>
        <v>7</v>
      </c>
      <c r="F132" s="1">
        <f t="shared" ca="1" si="40"/>
        <v>10</v>
      </c>
      <c r="G132" s="1">
        <f t="shared" ca="1" si="41"/>
        <v>2</v>
      </c>
      <c r="H132" s="1" t="str">
        <f t="shared" ca="1" si="42"/>
        <v>C#</v>
      </c>
      <c r="I132" s="1" t="str">
        <f t="shared" ca="1" si="43"/>
        <v>E</v>
      </c>
      <c r="J132" s="1" t="str">
        <f t="shared" ca="1" si="44"/>
        <v>G#</v>
      </c>
      <c r="K132" s="1" t="str">
        <f t="shared" ca="1" si="45"/>
        <v>C#EG#</v>
      </c>
      <c r="L132" s="1" t="str">
        <f t="shared" ca="1" si="46"/>
        <v>Db</v>
      </c>
      <c r="M132" s="1" t="str">
        <f t="shared" ca="1" si="47"/>
        <v>E</v>
      </c>
      <c r="N132" s="1" t="str">
        <f t="shared" ca="1" si="48"/>
        <v>Ab</v>
      </c>
      <c r="O132" s="1" t="str">
        <f t="shared" ca="1" si="49"/>
        <v>AbDbE</v>
      </c>
    </row>
    <row r="133" spans="1:15">
      <c r="A133" s="1" t="s">
        <v>61</v>
      </c>
      <c r="B133" s="1">
        <v>7</v>
      </c>
      <c r="C133" s="1" t="s">
        <v>95</v>
      </c>
      <c r="D133" s="1">
        <v>6</v>
      </c>
      <c r="E133" s="1">
        <f t="shared" ca="1" si="39"/>
        <v>8</v>
      </c>
      <c r="F133" s="1">
        <f t="shared" ca="1" si="40"/>
        <v>0</v>
      </c>
      <c r="G133" s="1">
        <f t="shared" ca="1" si="41"/>
        <v>3</v>
      </c>
      <c r="H133" s="1" t="str">
        <f t="shared" ca="1" si="42"/>
        <v>D</v>
      </c>
      <c r="I133" s="1" t="str">
        <f t="shared" ca="1" si="43"/>
        <v>F#</v>
      </c>
      <c r="J133" s="1" t="str">
        <f t="shared" ca="1" si="44"/>
        <v>A</v>
      </c>
      <c r="K133" s="1" t="str">
        <f t="shared" ca="1" si="45"/>
        <v>ADF#</v>
      </c>
      <c r="L133" s="1" t="str">
        <f t="shared" ca="1" si="46"/>
        <v>D</v>
      </c>
      <c r="M133" s="1" t="str">
        <f t="shared" ca="1" si="47"/>
        <v>Gb</v>
      </c>
      <c r="N133" s="1" t="str">
        <f t="shared" ca="1" si="48"/>
        <v>A</v>
      </c>
      <c r="O133" s="1" t="str">
        <f t="shared" ca="1" si="49"/>
        <v>ADGb</v>
      </c>
    </row>
    <row r="134" spans="1:15">
      <c r="A134" s="1" t="s">
        <v>61</v>
      </c>
      <c r="B134" s="1">
        <v>7</v>
      </c>
      <c r="C134" s="1" t="s">
        <v>95</v>
      </c>
      <c r="D134" s="1">
        <v>7</v>
      </c>
      <c r="E134" s="1">
        <f t="shared" ca="1" si="39"/>
        <v>10</v>
      </c>
      <c r="F134" s="1">
        <f t="shared" ca="1" si="40"/>
        <v>2</v>
      </c>
      <c r="G134" s="1">
        <f t="shared" ca="1" si="41"/>
        <v>5</v>
      </c>
      <c r="H134" s="1" t="str">
        <f t="shared" ca="1" si="42"/>
        <v>E</v>
      </c>
      <c r="I134" s="1" t="str">
        <f t="shared" ca="1" si="43"/>
        <v>G#</v>
      </c>
      <c r="J134" s="1" t="str">
        <f t="shared" ca="1" si="44"/>
        <v>B</v>
      </c>
      <c r="K134" s="1" t="str">
        <f t="shared" ca="1" si="45"/>
        <v>BEG#</v>
      </c>
      <c r="L134" s="1" t="str">
        <f t="shared" ca="1" si="46"/>
        <v>E</v>
      </c>
      <c r="M134" s="1" t="str">
        <f t="shared" ca="1" si="47"/>
        <v>Ab</v>
      </c>
      <c r="N134" s="1" t="str">
        <f t="shared" ca="1" si="48"/>
        <v>B</v>
      </c>
      <c r="O134" s="1" t="str">
        <f t="shared" ca="1" si="49"/>
        <v>AbBE</v>
      </c>
    </row>
    <row r="135" spans="1:15">
      <c r="A135" s="1" t="s">
        <v>62</v>
      </c>
      <c r="B135" s="1">
        <v>8</v>
      </c>
      <c r="C135" s="1" t="s">
        <v>95</v>
      </c>
      <c r="D135" s="1">
        <v>1</v>
      </c>
      <c r="E135" s="1">
        <f t="shared" ca="1" si="39"/>
        <v>0</v>
      </c>
      <c r="F135" s="1">
        <f t="shared" ca="1" si="40"/>
        <v>3</v>
      </c>
      <c r="G135" s="1">
        <f t="shared" ca="1" si="41"/>
        <v>7</v>
      </c>
      <c r="H135" s="1" t="str">
        <f t="shared" ca="1" si="42"/>
        <v>G</v>
      </c>
      <c r="I135" s="1" t="str">
        <f t="shared" ca="1" si="43"/>
        <v>A#</v>
      </c>
      <c r="J135" s="1" t="str">
        <f t="shared" ca="1" si="44"/>
        <v>D</v>
      </c>
      <c r="K135" s="1" t="str">
        <f t="shared" ca="1" si="45"/>
        <v>A#DG</v>
      </c>
      <c r="L135" s="1" t="str">
        <f t="shared" ca="1" si="46"/>
        <v>G</v>
      </c>
      <c r="M135" s="1" t="str">
        <f t="shared" ca="1" si="47"/>
        <v>Bb</v>
      </c>
      <c r="N135" s="1" t="str">
        <f t="shared" ca="1" si="48"/>
        <v>D</v>
      </c>
      <c r="O135" s="1" t="str">
        <f t="shared" ca="1" si="49"/>
        <v>BbDG</v>
      </c>
    </row>
    <row r="136" spans="1:15">
      <c r="A136" s="1" t="s">
        <v>62</v>
      </c>
      <c r="B136" s="1">
        <v>8</v>
      </c>
      <c r="C136" s="1" t="s">
        <v>95</v>
      </c>
      <c r="D136" s="1">
        <v>2</v>
      </c>
      <c r="E136" s="1">
        <f t="shared" ca="1" si="39"/>
        <v>2</v>
      </c>
      <c r="F136" s="1">
        <f t="shared" ca="1" si="40"/>
        <v>5</v>
      </c>
      <c r="G136" s="1">
        <f t="shared" ca="1" si="41"/>
        <v>8</v>
      </c>
      <c r="H136" s="1" t="str">
        <f t="shared" ca="1" si="42"/>
        <v>A</v>
      </c>
      <c r="I136" s="1" t="str">
        <f t="shared" ca="1" si="43"/>
        <v>C</v>
      </c>
      <c r="J136" s="1" t="str">
        <f t="shared" ca="1" si="44"/>
        <v>D#</v>
      </c>
      <c r="K136" s="1" t="str">
        <f t="shared" ca="1" si="45"/>
        <v>ACD#</v>
      </c>
      <c r="L136" s="1" t="str">
        <f t="shared" ca="1" si="46"/>
        <v>A</v>
      </c>
      <c r="M136" s="1" t="str">
        <f t="shared" ca="1" si="47"/>
        <v>C</v>
      </c>
      <c r="N136" s="1" t="str">
        <f t="shared" ca="1" si="48"/>
        <v>Eb</v>
      </c>
      <c r="O136" s="1" t="str">
        <f t="shared" ca="1" si="49"/>
        <v>ACEb</v>
      </c>
    </row>
    <row r="137" spans="1:15">
      <c r="A137" s="1" t="s">
        <v>62</v>
      </c>
      <c r="B137" s="1">
        <v>8</v>
      </c>
      <c r="C137" s="1" t="s">
        <v>95</v>
      </c>
      <c r="D137" s="1">
        <v>3</v>
      </c>
      <c r="E137" s="1">
        <f t="shared" ca="1" si="39"/>
        <v>3</v>
      </c>
      <c r="F137" s="1">
        <f t="shared" ca="1" si="40"/>
        <v>7</v>
      </c>
      <c r="G137" s="1">
        <f t="shared" ca="1" si="41"/>
        <v>10</v>
      </c>
      <c r="H137" s="1" t="str">
        <f t="shared" ca="1" si="42"/>
        <v>A#</v>
      </c>
      <c r="I137" s="1" t="str">
        <f t="shared" ca="1" si="43"/>
        <v>D</v>
      </c>
      <c r="J137" s="1" t="str">
        <f t="shared" ca="1" si="44"/>
        <v>F</v>
      </c>
      <c r="K137" s="1" t="str">
        <f t="shared" ca="1" si="45"/>
        <v>A#DF</v>
      </c>
      <c r="L137" s="1" t="str">
        <f t="shared" ca="1" si="46"/>
        <v>Bb</v>
      </c>
      <c r="M137" s="1" t="str">
        <f t="shared" ca="1" si="47"/>
        <v>D</v>
      </c>
      <c r="N137" s="1" t="str">
        <f t="shared" ca="1" si="48"/>
        <v>F</v>
      </c>
      <c r="O137" s="1" t="str">
        <f t="shared" ca="1" si="49"/>
        <v>BbDF</v>
      </c>
    </row>
    <row r="138" spans="1:15">
      <c r="A138" s="1" t="s">
        <v>62</v>
      </c>
      <c r="B138" s="1">
        <v>8</v>
      </c>
      <c r="C138" s="1" t="s">
        <v>95</v>
      </c>
      <c r="D138" s="1">
        <v>4</v>
      </c>
      <c r="E138" s="1">
        <f t="shared" ca="1" si="39"/>
        <v>5</v>
      </c>
      <c r="F138" s="1">
        <f t="shared" ca="1" si="40"/>
        <v>8</v>
      </c>
      <c r="G138" s="1">
        <f t="shared" ca="1" si="41"/>
        <v>0</v>
      </c>
      <c r="H138" s="1" t="str">
        <f t="shared" ca="1" si="42"/>
        <v>C</v>
      </c>
      <c r="I138" s="1" t="str">
        <f t="shared" ca="1" si="43"/>
        <v>D#</v>
      </c>
      <c r="J138" s="1" t="str">
        <f t="shared" ca="1" si="44"/>
        <v>G</v>
      </c>
      <c r="K138" s="1" t="str">
        <f t="shared" ca="1" si="45"/>
        <v>CD#G</v>
      </c>
      <c r="L138" s="1" t="str">
        <f t="shared" ca="1" si="46"/>
        <v>C</v>
      </c>
      <c r="M138" s="1" t="str">
        <f t="shared" ca="1" si="47"/>
        <v>Eb</v>
      </c>
      <c r="N138" s="1" t="str">
        <f t="shared" ca="1" si="48"/>
        <v>G</v>
      </c>
      <c r="O138" s="1" t="str">
        <f t="shared" ca="1" si="49"/>
        <v>CEbG</v>
      </c>
    </row>
    <row r="139" spans="1:15">
      <c r="A139" s="1" t="s">
        <v>62</v>
      </c>
      <c r="B139" s="1">
        <v>8</v>
      </c>
      <c r="C139" s="1" t="s">
        <v>95</v>
      </c>
      <c r="D139" s="1">
        <v>5</v>
      </c>
      <c r="E139" s="1">
        <f t="shared" ca="1" si="39"/>
        <v>7</v>
      </c>
      <c r="F139" s="1">
        <f t="shared" ca="1" si="40"/>
        <v>10</v>
      </c>
      <c r="G139" s="1">
        <f t="shared" ca="1" si="41"/>
        <v>2</v>
      </c>
      <c r="H139" s="1" t="str">
        <f t="shared" ca="1" si="42"/>
        <v>D</v>
      </c>
      <c r="I139" s="1" t="str">
        <f t="shared" ca="1" si="43"/>
        <v>F</v>
      </c>
      <c r="J139" s="1" t="str">
        <f t="shared" ca="1" si="44"/>
        <v>A</v>
      </c>
      <c r="K139" s="1" t="str">
        <f t="shared" ca="1" si="45"/>
        <v>ADF</v>
      </c>
      <c r="L139" s="1" t="str">
        <f t="shared" ca="1" si="46"/>
        <v>D</v>
      </c>
      <c r="M139" s="1" t="str">
        <f t="shared" ca="1" si="47"/>
        <v>F</v>
      </c>
      <c r="N139" s="1" t="str">
        <f t="shared" ca="1" si="48"/>
        <v>A</v>
      </c>
      <c r="O139" s="1" t="str">
        <f t="shared" ca="1" si="49"/>
        <v>ADF</v>
      </c>
    </row>
    <row r="140" spans="1:15">
      <c r="A140" s="1" t="s">
        <v>62</v>
      </c>
      <c r="B140" s="1">
        <v>8</v>
      </c>
      <c r="C140" s="1" t="s">
        <v>95</v>
      </c>
      <c r="D140" s="1">
        <v>6</v>
      </c>
      <c r="E140" s="1">
        <f t="shared" ca="1" si="39"/>
        <v>8</v>
      </c>
      <c r="F140" s="1">
        <f t="shared" ca="1" si="40"/>
        <v>0</v>
      </c>
      <c r="G140" s="1">
        <f t="shared" ca="1" si="41"/>
        <v>3</v>
      </c>
      <c r="H140" s="1" t="str">
        <f t="shared" ca="1" si="42"/>
        <v>D#</v>
      </c>
      <c r="I140" s="1" t="str">
        <f t="shared" ca="1" si="43"/>
        <v>G</v>
      </c>
      <c r="J140" s="1" t="str">
        <f t="shared" ca="1" si="44"/>
        <v>A#</v>
      </c>
      <c r="K140" s="1" t="str">
        <f t="shared" ca="1" si="45"/>
        <v>A#D#G</v>
      </c>
      <c r="L140" s="1" t="str">
        <f t="shared" ca="1" si="46"/>
        <v>Eb</v>
      </c>
      <c r="M140" s="1" t="str">
        <f t="shared" ca="1" si="47"/>
        <v>G</v>
      </c>
      <c r="N140" s="1" t="str">
        <f t="shared" ca="1" si="48"/>
        <v>Bb</v>
      </c>
      <c r="O140" s="1" t="str">
        <f t="shared" ca="1" si="49"/>
        <v>BbEbG</v>
      </c>
    </row>
    <row r="141" spans="1:15">
      <c r="A141" s="1" t="s">
        <v>62</v>
      </c>
      <c r="B141" s="1">
        <v>8</v>
      </c>
      <c r="C141" s="1" t="s">
        <v>95</v>
      </c>
      <c r="D141" s="1">
        <v>7</v>
      </c>
      <c r="E141" s="1">
        <f t="shared" ca="1" si="39"/>
        <v>10</v>
      </c>
      <c r="F141" s="1">
        <f t="shared" ca="1" si="40"/>
        <v>2</v>
      </c>
      <c r="G141" s="1">
        <f t="shared" ca="1" si="41"/>
        <v>5</v>
      </c>
      <c r="H141" s="1" t="str">
        <f t="shared" ca="1" si="42"/>
        <v>F</v>
      </c>
      <c r="I141" s="1" t="str">
        <f t="shared" ca="1" si="43"/>
        <v>A</v>
      </c>
      <c r="J141" s="1" t="str">
        <f t="shared" ca="1" si="44"/>
        <v>C</v>
      </c>
      <c r="K141" s="1" t="str">
        <f t="shared" ca="1" si="45"/>
        <v>ACF</v>
      </c>
      <c r="L141" s="1" t="str">
        <f t="shared" ca="1" si="46"/>
        <v>F</v>
      </c>
      <c r="M141" s="1" t="str">
        <f t="shared" ca="1" si="47"/>
        <v>A</v>
      </c>
      <c r="N141" s="1" t="str">
        <f t="shared" ca="1" si="48"/>
        <v>C</v>
      </c>
      <c r="O141" s="1" t="str">
        <f t="shared" ca="1" si="49"/>
        <v>ACF</v>
      </c>
    </row>
    <row r="142" spans="1:15">
      <c r="A142" s="1" t="s">
        <v>63</v>
      </c>
      <c r="B142" s="1">
        <v>9</v>
      </c>
      <c r="C142" s="1" t="s">
        <v>95</v>
      </c>
      <c r="D142" s="1">
        <v>1</v>
      </c>
      <c r="E142" s="1">
        <f t="shared" ca="1" si="39"/>
        <v>0</v>
      </c>
      <c r="F142" s="1">
        <f t="shared" ca="1" si="40"/>
        <v>3</v>
      </c>
      <c r="G142" s="1">
        <f t="shared" ca="1" si="41"/>
        <v>7</v>
      </c>
      <c r="H142" s="1" t="str">
        <f t="shared" ca="1" si="42"/>
        <v>G#</v>
      </c>
      <c r="I142" s="1" t="str">
        <f t="shared" ca="1" si="43"/>
        <v>B</v>
      </c>
      <c r="J142" s="1" t="str">
        <f t="shared" ca="1" si="44"/>
        <v>D#</v>
      </c>
      <c r="K142" s="1" t="str">
        <f t="shared" ca="1" si="45"/>
        <v>BD#G#</v>
      </c>
      <c r="L142" s="1" t="str">
        <f t="shared" ca="1" si="46"/>
        <v>Ab</v>
      </c>
      <c r="M142" s="1" t="str">
        <f t="shared" ca="1" si="47"/>
        <v>B</v>
      </c>
      <c r="N142" s="1" t="str">
        <f t="shared" ca="1" si="48"/>
        <v>Eb</v>
      </c>
      <c r="O142" s="1" t="str">
        <f t="shared" ca="1" si="49"/>
        <v>AbBEb</v>
      </c>
    </row>
    <row r="143" spans="1:15">
      <c r="A143" s="1" t="s">
        <v>63</v>
      </c>
      <c r="B143" s="1">
        <v>9</v>
      </c>
      <c r="C143" s="1" t="s">
        <v>95</v>
      </c>
      <c r="D143" s="1">
        <v>2</v>
      </c>
      <c r="E143" s="1">
        <f t="shared" ca="1" si="39"/>
        <v>2</v>
      </c>
      <c r="F143" s="1">
        <f t="shared" ca="1" si="40"/>
        <v>5</v>
      </c>
      <c r="G143" s="1">
        <f t="shared" ca="1" si="41"/>
        <v>8</v>
      </c>
      <c r="H143" s="1" t="str">
        <f t="shared" ca="1" si="42"/>
        <v>A#</v>
      </c>
      <c r="I143" s="1" t="str">
        <f t="shared" ca="1" si="43"/>
        <v>C#</v>
      </c>
      <c r="J143" s="1" t="str">
        <f t="shared" ca="1" si="44"/>
        <v>E</v>
      </c>
      <c r="K143" s="1" t="str">
        <f t="shared" ca="1" si="45"/>
        <v>A#C#E</v>
      </c>
      <c r="L143" s="1" t="str">
        <f t="shared" ca="1" si="46"/>
        <v>Bb</v>
      </c>
      <c r="M143" s="1" t="str">
        <f t="shared" ca="1" si="47"/>
        <v>Db</v>
      </c>
      <c r="N143" s="1" t="str">
        <f t="shared" ca="1" si="48"/>
        <v>E</v>
      </c>
      <c r="O143" s="1" t="str">
        <f t="shared" ca="1" si="49"/>
        <v>BbDbE</v>
      </c>
    </row>
    <row r="144" spans="1:15">
      <c r="A144" s="1" t="s">
        <v>63</v>
      </c>
      <c r="B144" s="1">
        <v>9</v>
      </c>
      <c r="C144" s="1" t="s">
        <v>95</v>
      </c>
      <c r="D144" s="1">
        <v>3</v>
      </c>
      <c r="E144" s="1">
        <f t="shared" ca="1" si="39"/>
        <v>3</v>
      </c>
      <c r="F144" s="1">
        <f t="shared" ca="1" si="40"/>
        <v>7</v>
      </c>
      <c r="G144" s="1">
        <f t="shared" ca="1" si="41"/>
        <v>10</v>
      </c>
      <c r="H144" s="1" t="str">
        <f t="shared" ca="1" si="42"/>
        <v>B</v>
      </c>
      <c r="I144" s="1" t="str">
        <f t="shared" ca="1" si="43"/>
        <v>D#</v>
      </c>
      <c r="J144" s="1" t="str">
        <f t="shared" ca="1" si="44"/>
        <v>F#</v>
      </c>
      <c r="K144" s="1" t="str">
        <f t="shared" ca="1" si="45"/>
        <v>BD#F#</v>
      </c>
      <c r="L144" s="1" t="str">
        <f t="shared" ca="1" si="46"/>
        <v>B</v>
      </c>
      <c r="M144" s="1" t="str">
        <f t="shared" ca="1" si="47"/>
        <v>Eb</v>
      </c>
      <c r="N144" s="1" t="str">
        <f t="shared" ca="1" si="48"/>
        <v>Gb</v>
      </c>
      <c r="O144" s="1" t="str">
        <f t="shared" ca="1" si="49"/>
        <v>BEbGb</v>
      </c>
    </row>
    <row r="145" spans="1:15">
      <c r="A145" s="1" t="s">
        <v>63</v>
      </c>
      <c r="B145" s="1">
        <v>9</v>
      </c>
      <c r="C145" s="1" t="s">
        <v>95</v>
      </c>
      <c r="D145" s="1">
        <v>4</v>
      </c>
      <c r="E145" s="1">
        <f t="shared" ca="1" si="39"/>
        <v>5</v>
      </c>
      <c r="F145" s="1">
        <f t="shared" ca="1" si="40"/>
        <v>8</v>
      </c>
      <c r="G145" s="1">
        <f t="shared" ca="1" si="41"/>
        <v>0</v>
      </c>
      <c r="H145" s="1" t="str">
        <f t="shared" ca="1" si="42"/>
        <v>C#</v>
      </c>
      <c r="I145" s="1" t="str">
        <f t="shared" ca="1" si="43"/>
        <v>E</v>
      </c>
      <c r="J145" s="1" t="str">
        <f t="shared" ca="1" si="44"/>
        <v>G#</v>
      </c>
      <c r="K145" s="1" t="str">
        <f t="shared" ca="1" si="45"/>
        <v>C#EG#</v>
      </c>
      <c r="L145" s="1" t="str">
        <f t="shared" ca="1" si="46"/>
        <v>Db</v>
      </c>
      <c r="M145" s="1" t="str">
        <f t="shared" ca="1" si="47"/>
        <v>E</v>
      </c>
      <c r="N145" s="1" t="str">
        <f t="shared" ca="1" si="48"/>
        <v>Ab</v>
      </c>
      <c r="O145" s="1" t="str">
        <f t="shared" ca="1" si="49"/>
        <v>AbDbE</v>
      </c>
    </row>
    <row r="146" spans="1:15">
      <c r="A146" s="1" t="s">
        <v>63</v>
      </c>
      <c r="B146" s="1">
        <v>9</v>
      </c>
      <c r="C146" s="1" t="s">
        <v>95</v>
      </c>
      <c r="D146" s="1">
        <v>5</v>
      </c>
      <c r="E146" s="1">
        <f t="shared" ca="1" si="39"/>
        <v>7</v>
      </c>
      <c r="F146" s="1">
        <f t="shared" ca="1" si="40"/>
        <v>10</v>
      </c>
      <c r="G146" s="1">
        <f t="shared" ca="1" si="41"/>
        <v>2</v>
      </c>
      <c r="H146" s="1" t="str">
        <f t="shared" ca="1" si="42"/>
        <v>D#</v>
      </c>
      <c r="I146" s="1" t="str">
        <f t="shared" ca="1" si="43"/>
        <v>F#</v>
      </c>
      <c r="J146" s="1" t="str">
        <f t="shared" ca="1" si="44"/>
        <v>A#</v>
      </c>
      <c r="K146" s="1" t="str">
        <f t="shared" ca="1" si="45"/>
        <v>A#D#F#</v>
      </c>
      <c r="L146" s="1" t="str">
        <f t="shared" ca="1" si="46"/>
        <v>Eb</v>
      </c>
      <c r="M146" s="1" t="str">
        <f t="shared" ca="1" si="47"/>
        <v>Gb</v>
      </c>
      <c r="N146" s="1" t="str">
        <f t="shared" ca="1" si="48"/>
        <v>Bb</v>
      </c>
      <c r="O146" s="1" t="str">
        <f t="shared" ca="1" si="49"/>
        <v>BbEbGb</v>
      </c>
    </row>
    <row r="147" spans="1:15">
      <c r="A147" s="1" t="s">
        <v>63</v>
      </c>
      <c r="B147" s="1">
        <v>9</v>
      </c>
      <c r="C147" s="1" t="s">
        <v>95</v>
      </c>
      <c r="D147" s="1">
        <v>6</v>
      </c>
      <c r="E147" s="1">
        <f t="shared" ca="1" si="39"/>
        <v>8</v>
      </c>
      <c r="F147" s="1">
        <f t="shared" ca="1" si="40"/>
        <v>0</v>
      </c>
      <c r="G147" s="1">
        <f t="shared" ca="1" si="41"/>
        <v>3</v>
      </c>
      <c r="H147" s="1" t="str">
        <f t="shared" ca="1" si="42"/>
        <v>E</v>
      </c>
      <c r="I147" s="1" t="str">
        <f t="shared" ca="1" si="43"/>
        <v>G#</v>
      </c>
      <c r="J147" s="1" t="str">
        <f t="shared" ca="1" si="44"/>
        <v>B</v>
      </c>
      <c r="K147" s="1" t="str">
        <f t="shared" ca="1" si="45"/>
        <v>BEG#</v>
      </c>
      <c r="L147" s="1" t="str">
        <f t="shared" ca="1" si="46"/>
        <v>E</v>
      </c>
      <c r="M147" s="1" t="str">
        <f t="shared" ca="1" si="47"/>
        <v>Ab</v>
      </c>
      <c r="N147" s="1" t="str">
        <f t="shared" ca="1" si="48"/>
        <v>B</v>
      </c>
      <c r="O147" s="1" t="str">
        <f t="shared" ca="1" si="49"/>
        <v>AbBE</v>
      </c>
    </row>
    <row r="148" spans="1:15">
      <c r="A148" s="1" t="s">
        <v>63</v>
      </c>
      <c r="B148" s="1">
        <v>9</v>
      </c>
      <c r="C148" s="1" t="s">
        <v>95</v>
      </c>
      <c r="D148" s="1">
        <v>7</v>
      </c>
      <c r="E148" s="1">
        <f t="shared" ca="1" si="39"/>
        <v>10</v>
      </c>
      <c r="F148" s="1">
        <f t="shared" ca="1" si="40"/>
        <v>2</v>
      </c>
      <c r="G148" s="1">
        <f t="shared" ca="1" si="41"/>
        <v>5</v>
      </c>
      <c r="H148" s="1" t="str">
        <f t="shared" ca="1" si="42"/>
        <v>F#</v>
      </c>
      <c r="I148" s="1" t="str">
        <f t="shared" ca="1" si="43"/>
        <v>A#</v>
      </c>
      <c r="J148" s="1" t="str">
        <f t="shared" ca="1" si="44"/>
        <v>C#</v>
      </c>
      <c r="K148" s="1" t="str">
        <f t="shared" ca="1" si="45"/>
        <v>A#C#F#</v>
      </c>
      <c r="L148" s="1" t="str">
        <f t="shared" ca="1" si="46"/>
        <v>Gb</v>
      </c>
      <c r="M148" s="1" t="str">
        <f t="shared" ca="1" si="47"/>
        <v>Bb</v>
      </c>
      <c r="N148" s="1" t="str">
        <f t="shared" ca="1" si="48"/>
        <v>Db</v>
      </c>
      <c r="O148" s="1" t="str">
        <f t="shared" ca="1" si="49"/>
        <v>BbDbGb</v>
      </c>
    </row>
    <row r="149" spans="1:15">
      <c r="A149" s="1" t="s">
        <v>64</v>
      </c>
      <c r="B149" s="1">
        <v>10</v>
      </c>
      <c r="C149" s="1" t="s">
        <v>95</v>
      </c>
      <c r="D149" s="1">
        <v>1</v>
      </c>
      <c r="E149" s="1">
        <f t="shared" ca="1" si="39"/>
        <v>0</v>
      </c>
      <c r="F149" s="1">
        <f t="shared" ca="1" si="40"/>
        <v>3</v>
      </c>
      <c r="G149" s="1">
        <f t="shared" ca="1" si="41"/>
        <v>7</v>
      </c>
      <c r="H149" s="1" t="str">
        <f t="shared" ca="1" si="42"/>
        <v>A</v>
      </c>
      <c r="I149" s="1" t="str">
        <f t="shared" ca="1" si="43"/>
        <v>C</v>
      </c>
      <c r="J149" s="1" t="str">
        <f t="shared" ca="1" si="44"/>
        <v>E</v>
      </c>
      <c r="K149" s="1" t="str">
        <f t="shared" ca="1" si="45"/>
        <v>ACE</v>
      </c>
      <c r="L149" s="1" t="str">
        <f t="shared" ca="1" si="46"/>
        <v>A</v>
      </c>
      <c r="M149" s="1" t="str">
        <f t="shared" ca="1" si="47"/>
        <v>C</v>
      </c>
      <c r="N149" s="1" t="str">
        <f t="shared" ca="1" si="48"/>
        <v>E</v>
      </c>
      <c r="O149" s="1" t="str">
        <f t="shared" ca="1" si="49"/>
        <v>ACE</v>
      </c>
    </row>
    <row r="150" spans="1:15">
      <c r="A150" s="1" t="s">
        <v>64</v>
      </c>
      <c r="B150" s="1">
        <v>10</v>
      </c>
      <c r="C150" s="1" t="s">
        <v>95</v>
      </c>
      <c r="D150" s="1">
        <v>2</v>
      </c>
      <c r="E150" s="1">
        <f t="shared" ca="1" si="39"/>
        <v>2</v>
      </c>
      <c r="F150" s="1">
        <f t="shared" ca="1" si="40"/>
        <v>5</v>
      </c>
      <c r="G150" s="1">
        <f t="shared" ca="1" si="41"/>
        <v>8</v>
      </c>
      <c r="H150" s="1" t="str">
        <f t="shared" ca="1" si="42"/>
        <v>B</v>
      </c>
      <c r="I150" s="1" t="str">
        <f t="shared" ca="1" si="43"/>
        <v>D</v>
      </c>
      <c r="J150" s="1" t="str">
        <f t="shared" ca="1" si="44"/>
        <v>F</v>
      </c>
      <c r="K150" s="1" t="str">
        <f t="shared" ca="1" si="45"/>
        <v>BDF</v>
      </c>
      <c r="L150" s="1" t="str">
        <f t="shared" ca="1" si="46"/>
        <v>B</v>
      </c>
      <c r="M150" s="1" t="str">
        <f t="shared" ca="1" si="47"/>
        <v>D</v>
      </c>
      <c r="N150" s="1" t="str">
        <f t="shared" ca="1" si="48"/>
        <v>F</v>
      </c>
      <c r="O150" s="1" t="str">
        <f t="shared" ca="1" si="49"/>
        <v>BDF</v>
      </c>
    </row>
    <row r="151" spans="1:15">
      <c r="A151" s="1" t="s">
        <v>64</v>
      </c>
      <c r="B151" s="1">
        <v>10</v>
      </c>
      <c r="C151" s="1" t="s">
        <v>95</v>
      </c>
      <c r="D151" s="1">
        <v>3</v>
      </c>
      <c r="E151" s="1">
        <f t="shared" ref="E151:E169" ca="1" si="50">INDIRECT("'Scales'!$C" &amp; IF($D151 &lt;=7, $D151+1, $D151-6))</f>
        <v>3</v>
      </c>
      <c r="F151" s="1">
        <f t="shared" ref="F151:F169" ca="1" si="51">INDIRECT("'Scales'!$C" &amp; IF($D151 &lt;=5, $D151+3, $D151-4))</f>
        <v>7</v>
      </c>
      <c r="G151" s="1">
        <f t="shared" ref="G151:G169" ca="1" si="52">INDIRECT("'Scales'!$C" &amp; IF($D151 &lt;=3, $D151+5, $D151-2))</f>
        <v>10</v>
      </c>
      <c r="H151" s="1" t="str">
        <f t="shared" ref="H151:H169" ca="1" si="53">INDIRECT("'Pitch classes'!B"&amp;IF($B151+E151&lt;=12,$B151+E151,$B151+E151-12)+1)</f>
        <v>C</v>
      </c>
      <c r="I151" s="1" t="str">
        <f t="shared" ref="I151:I169" ca="1" si="54">INDIRECT("'Pitch classes'!B"&amp;IF($B151+F151&lt;=12,$B151+F151,$B151+F151-12)+1)</f>
        <v>E</v>
      </c>
      <c r="J151" s="1" t="str">
        <f t="shared" ref="J151:J169" ca="1" si="55">INDIRECT("'Pitch classes'!B"&amp;IF($B151+G151&lt;=12,$B151+G151,$B151+G151-12)+1)</f>
        <v>G</v>
      </c>
      <c r="K151" s="1" t="str">
        <f t="shared" ref="K151:K169" ca="1" si="56">GetSortedUniquePitchClasses(CONCATENATE(H151, I151, J151))</f>
        <v>CEG</v>
      </c>
      <c r="L151" s="1" t="str">
        <f t="shared" ref="L151:L169" ca="1" si="57">INDIRECT("'Pitch classes'!C"&amp;IF($B151+E151&lt;=12,$B151+E151,$B151+E151-12)+1)</f>
        <v>C</v>
      </c>
      <c r="M151" s="1" t="str">
        <f t="shared" ref="M151:M169" ca="1" si="58">INDIRECT("'Pitch classes'!C"&amp;IF($B151+F151&lt;=12,$B151+F151,$B151+F151-12)+1)</f>
        <v>E</v>
      </c>
      <c r="N151" s="1" t="str">
        <f t="shared" ref="N151:N169" ca="1" si="59">INDIRECT("'Pitch classes'!C"&amp;IF($B151+G151&lt;=12,$B151+G151,$B151+G151-12)+1)</f>
        <v>G</v>
      </c>
      <c r="O151" s="1" t="str">
        <f t="shared" ref="O151:O169" ca="1" si="60">GetSortedUniquePitchClasses(CONCATENATE(L151, M151, N151))</f>
        <v>CEG</v>
      </c>
    </row>
    <row r="152" spans="1:15">
      <c r="A152" s="1" t="s">
        <v>64</v>
      </c>
      <c r="B152" s="1">
        <v>10</v>
      </c>
      <c r="C152" s="1" t="s">
        <v>95</v>
      </c>
      <c r="D152" s="1">
        <v>4</v>
      </c>
      <c r="E152" s="1">
        <f t="shared" ca="1" si="50"/>
        <v>5</v>
      </c>
      <c r="F152" s="1">
        <f t="shared" ca="1" si="51"/>
        <v>8</v>
      </c>
      <c r="G152" s="1">
        <f t="shared" ca="1" si="52"/>
        <v>0</v>
      </c>
      <c r="H152" s="1" t="str">
        <f t="shared" ca="1" si="53"/>
        <v>D</v>
      </c>
      <c r="I152" s="1" t="str">
        <f t="shared" ca="1" si="54"/>
        <v>F</v>
      </c>
      <c r="J152" s="1" t="str">
        <f t="shared" ca="1" si="55"/>
        <v>A</v>
      </c>
      <c r="K152" s="1" t="str">
        <f t="shared" ca="1" si="56"/>
        <v>ADF</v>
      </c>
      <c r="L152" s="1" t="str">
        <f t="shared" ca="1" si="57"/>
        <v>D</v>
      </c>
      <c r="M152" s="1" t="str">
        <f t="shared" ca="1" si="58"/>
        <v>F</v>
      </c>
      <c r="N152" s="1" t="str">
        <f t="shared" ca="1" si="59"/>
        <v>A</v>
      </c>
      <c r="O152" s="1" t="str">
        <f t="shared" ca="1" si="60"/>
        <v>ADF</v>
      </c>
    </row>
    <row r="153" spans="1:15">
      <c r="A153" s="1" t="s">
        <v>64</v>
      </c>
      <c r="B153" s="1">
        <v>10</v>
      </c>
      <c r="C153" s="1" t="s">
        <v>95</v>
      </c>
      <c r="D153" s="1">
        <v>5</v>
      </c>
      <c r="E153" s="1">
        <f t="shared" ca="1" si="50"/>
        <v>7</v>
      </c>
      <c r="F153" s="1">
        <f t="shared" ca="1" si="51"/>
        <v>10</v>
      </c>
      <c r="G153" s="1">
        <f t="shared" ca="1" si="52"/>
        <v>2</v>
      </c>
      <c r="H153" s="1" t="str">
        <f t="shared" ca="1" si="53"/>
        <v>E</v>
      </c>
      <c r="I153" s="1" t="str">
        <f t="shared" ca="1" si="54"/>
        <v>G</v>
      </c>
      <c r="J153" s="1" t="str">
        <f t="shared" ca="1" si="55"/>
        <v>B</v>
      </c>
      <c r="K153" s="1" t="str">
        <f t="shared" ca="1" si="56"/>
        <v>BEG</v>
      </c>
      <c r="L153" s="1" t="str">
        <f t="shared" ca="1" si="57"/>
        <v>E</v>
      </c>
      <c r="M153" s="1" t="str">
        <f t="shared" ca="1" si="58"/>
        <v>G</v>
      </c>
      <c r="N153" s="1" t="str">
        <f t="shared" ca="1" si="59"/>
        <v>B</v>
      </c>
      <c r="O153" s="1" t="str">
        <f t="shared" ca="1" si="60"/>
        <v>BEG</v>
      </c>
    </row>
    <row r="154" spans="1:15">
      <c r="A154" s="1" t="s">
        <v>64</v>
      </c>
      <c r="B154" s="1">
        <v>10</v>
      </c>
      <c r="C154" s="1" t="s">
        <v>95</v>
      </c>
      <c r="D154" s="1">
        <v>6</v>
      </c>
      <c r="E154" s="1">
        <f t="shared" ca="1" si="50"/>
        <v>8</v>
      </c>
      <c r="F154" s="1">
        <f t="shared" ca="1" si="51"/>
        <v>0</v>
      </c>
      <c r="G154" s="1">
        <f t="shared" ca="1" si="52"/>
        <v>3</v>
      </c>
      <c r="H154" s="1" t="str">
        <f t="shared" ca="1" si="53"/>
        <v>F</v>
      </c>
      <c r="I154" s="1" t="str">
        <f t="shared" ca="1" si="54"/>
        <v>A</v>
      </c>
      <c r="J154" s="1" t="str">
        <f t="shared" ca="1" si="55"/>
        <v>C</v>
      </c>
      <c r="K154" s="1" t="str">
        <f t="shared" ca="1" si="56"/>
        <v>ACF</v>
      </c>
      <c r="L154" s="1" t="str">
        <f t="shared" ca="1" si="57"/>
        <v>F</v>
      </c>
      <c r="M154" s="1" t="str">
        <f t="shared" ca="1" si="58"/>
        <v>A</v>
      </c>
      <c r="N154" s="1" t="str">
        <f t="shared" ca="1" si="59"/>
        <v>C</v>
      </c>
      <c r="O154" s="1" t="str">
        <f t="shared" ca="1" si="60"/>
        <v>ACF</v>
      </c>
    </row>
    <row r="155" spans="1:15">
      <c r="A155" s="1" t="s">
        <v>64</v>
      </c>
      <c r="B155" s="1">
        <v>10</v>
      </c>
      <c r="C155" s="1" t="s">
        <v>95</v>
      </c>
      <c r="D155" s="1">
        <v>7</v>
      </c>
      <c r="E155" s="1">
        <f t="shared" ca="1" si="50"/>
        <v>10</v>
      </c>
      <c r="F155" s="1">
        <f t="shared" ca="1" si="51"/>
        <v>2</v>
      </c>
      <c r="G155" s="1">
        <f t="shared" ca="1" si="52"/>
        <v>5</v>
      </c>
      <c r="H155" s="1" t="str">
        <f t="shared" ca="1" si="53"/>
        <v>G</v>
      </c>
      <c r="I155" s="1" t="str">
        <f t="shared" ca="1" si="54"/>
        <v>B</v>
      </c>
      <c r="J155" s="1" t="str">
        <f t="shared" ca="1" si="55"/>
        <v>D</v>
      </c>
      <c r="K155" s="1" t="str">
        <f t="shared" ca="1" si="56"/>
        <v>BDG</v>
      </c>
      <c r="L155" s="1" t="str">
        <f t="shared" ca="1" si="57"/>
        <v>G</v>
      </c>
      <c r="M155" s="1" t="str">
        <f t="shared" ca="1" si="58"/>
        <v>B</v>
      </c>
      <c r="N155" s="1" t="str">
        <f t="shared" ca="1" si="59"/>
        <v>D</v>
      </c>
      <c r="O155" s="1" t="str">
        <f t="shared" ca="1" si="60"/>
        <v>BDG</v>
      </c>
    </row>
    <row r="156" spans="1:15">
      <c r="A156" s="1" t="s">
        <v>65</v>
      </c>
      <c r="B156" s="1">
        <v>11</v>
      </c>
      <c r="C156" s="1" t="s">
        <v>95</v>
      </c>
      <c r="D156" s="1">
        <v>1</v>
      </c>
      <c r="E156" s="1">
        <f t="shared" ca="1" si="50"/>
        <v>0</v>
      </c>
      <c r="F156" s="1">
        <f t="shared" ca="1" si="51"/>
        <v>3</v>
      </c>
      <c r="G156" s="1">
        <f t="shared" ca="1" si="52"/>
        <v>7</v>
      </c>
      <c r="H156" s="1" t="str">
        <f t="shared" ca="1" si="53"/>
        <v>A#</v>
      </c>
      <c r="I156" s="1" t="str">
        <f t="shared" ca="1" si="54"/>
        <v>C#</v>
      </c>
      <c r="J156" s="1" t="str">
        <f t="shared" ca="1" si="55"/>
        <v>F</v>
      </c>
      <c r="K156" s="1" t="str">
        <f t="shared" ca="1" si="56"/>
        <v>A#C#F</v>
      </c>
      <c r="L156" s="1" t="str">
        <f t="shared" ca="1" si="57"/>
        <v>Bb</v>
      </c>
      <c r="M156" s="1" t="str">
        <f t="shared" ca="1" si="58"/>
        <v>Db</v>
      </c>
      <c r="N156" s="1" t="str">
        <f t="shared" ca="1" si="59"/>
        <v>F</v>
      </c>
      <c r="O156" s="1" t="str">
        <f t="shared" ca="1" si="60"/>
        <v>BbDbF</v>
      </c>
    </row>
    <row r="157" spans="1:15">
      <c r="A157" s="1" t="s">
        <v>65</v>
      </c>
      <c r="B157" s="1">
        <v>11</v>
      </c>
      <c r="C157" s="1" t="s">
        <v>95</v>
      </c>
      <c r="D157" s="1">
        <v>2</v>
      </c>
      <c r="E157" s="1">
        <f t="shared" ca="1" si="50"/>
        <v>2</v>
      </c>
      <c r="F157" s="1">
        <f t="shared" ca="1" si="51"/>
        <v>5</v>
      </c>
      <c r="G157" s="1">
        <f t="shared" ca="1" si="52"/>
        <v>8</v>
      </c>
      <c r="H157" s="1" t="str">
        <f t="shared" ca="1" si="53"/>
        <v>C</v>
      </c>
      <c r="I157" s="1" t="str">
        <f t="shared" ca="1" si="54"/>
        <v>D#</v>
      </c>
      <c r="J157" s="1" t="str">
        <f t="shared" ca="1" si="55"/>
        <v>F#</v>
      </c>
      <c r="K157" s="1" t="str">
        <f t="shared" ca="1" si="56"/>
        <v>CD#F#</v>
      </c>
      <c r="L157" s="1" t="str">
        <f t="shared" ca="1" si="57"/>
        <v>C</v>
      </c>
      <c r="M157" s="1" t="str">
        <f t="shared" ca="1" si="58"/>
        <v>Eb</v>
      </c>
      <c r="N157" s="1" t="str">
        <f t="shared" ca="1" si="59"/>
        <v>Gb</v>
      </c>
      <c r="O157" s="1" t="str">
        <f t="shared" ca="1" si="60"/>
        <v>CEbGb</v>
      </c>
    </row>
    <row r="158" spans="1:15">
      <c r="A158" s="1" t="s">
        <v>65</v>
      </c>
      <c r="B158" s="1">
        <v>11</v>
      </c>
      <c r="C158" s="1" t="s">
        <v>95</v>
      </c>
      <c r="D158" s="1">
        <v>3</v>
      </c>
      <c r="E158" s="1">
        <f t="shared" ca="1" si="50"/>
        <v>3</v>
      </c>
      <c r="F158" s="1">
        <f t="shared" ca="1" si="51"/>
        <v>7</v>
      </c>
      <c r="G158" s="1">
        <f t="shared" ca="1" si="52"/>
        <v>10</v>
      </c>
      <c r="H158" s="1" t="str">
        <f t="shared" ca="1" si="53"/>
        <v>C#</v>
      </c>
      <c r="I158" s="1" t="str">
        <f t="shared" ca="1" si="54"/>
        <v>F</v>
      </c>
      <c r="J158" s="1" t="str">
        <f t="shared" ca="1" si="55"/>
        <v>G#</v>
      </c>
      <c r="K158" s="1" t="str">
        <f t="shared" ca="1" si="56"/>
        <v>C#FG#</v>
      </c>
      <c r="L158" s="1" t="str">
        <f t="shared" ca="1" si="57"/>
        <v>Db</v>
      </c>
      <c r="M158" s="1" t="str">
        <f t="shared" ca="1" si="58"/>
        <v>F</v>
      </c>
      <c r="N158" s="1" t="str">
        <f t="shared" ca="1" si="59"/>
        <v>Ab</v>
      </c>
      <c r="O158" s="1" t="str">
        <f t="shared" ca="1" si="60"/>
        <v>AbDbF</v>
      </c>
    </row>
    <row r="159" spans="1:15">
      <c r="A159" s="1" t="s">
        <v>65</v>
      </c>
      <c r="B159" s="1">
        <v>11</v>
      </c>
      <c r="C159" s="1" t="s">
        <v>95</v>
      </c>
      <c r="D159" s="1">
        <v>4</v>
      </c>
      <c r="E159" s="1">
        <f t="shared" ca="1" si="50"/>
        <v>5</v>
      </c>
      <c r="F159" s="1">
        <f t="shared" ca="1" si="51"/>
        <v>8</v>
      </c>
      <c r="G159" s="1">
        <f t="shared" ca="1" si="52"/>
        <v>0</v>
      </c>
      <c r="H159" s="1" t="str">
        <f t="shared" ca="1" si="53"/>
        <v>D#</v>
      </c>
      <c r="I159" s="1" t="str">
        <f t="shared" ca="1" si="54"/>
        <v>F#</v>
      </c>
      <c r="J159" s="1" t="str">
        <f t="shared" ca="1" si="55"/>
        <v>A#</v>
      </c>
      <c r="K159" s="1" t="str">
        <f t="shared" ca="1" si="56"/>
        <v>A#D#F#</v>
      </c>
      <c r="L159" s="1" t="str">
        <f t="shared" ca="1" si="57"/>
        <v>Eb</v>
      </c>
      <c r="M159" s="1" t="str">
        <f t="shared" ca="1" si="58"/>
        <v>Gb</v>
      </c>
      <c r="N159" s="1" t="str">
        <f t="shared" ca="1" si="59"/>
        <v>Bb</v>
      </c>
      <c r="O159" s="1" t="str">
        <f t="shared" ca="1" si="60"/>
        <v>BbEbGb</v>
      </c>
    </row>
    <row r="160" spans="1:15">
      <c r="A160" s="1" t="s">
        <v>65</v>
      </c>
      <c r="B160" s="1">
        <v>11</v>
      </c>
      <c r="C160" s="1" t="s">
        <v>95</v>
      </c>
      <c r="D160" s="1">
        <v>5</v>
      </c>
      <c r="E160" s="1">
        <f t="shared" ca="1" si="50"/>
        <v>7</v>
      </c>
      <c r="F160" s="1">
        <f t="shared" ca="1" si="51"/>
        <v>10</v>
      </c>
      <c r="G160" s="1">
        <f t="shared" ca="1" si="52"/>
        <v>2</v>
      </c>
      <c r="H160" s="1" t="str">
        <f t="shared" ca="1" si="53"/>
        <v>F</v>
      </c>
      <c r="I160" s="1" t="str">
        <f t="shared" ca="1" si="54"/>
        <v>G#</v>
      </c>
      <c r="J160" s="1" t="str">
        <f t="shared" ca="1" si="55"/>
        <v>C</v>
      </c>
      <c r="K160" s="1" t="str">
        <f t="shared" ca="1" si="56"/>
        <v>CFG#</v>
      </c>
      <c r="L160" s="1" t="str">
        <f t="shared" ca="1" si="57"/>
        <v>F</v>
      </c>
      <c r="M160" s="1" t="str">
        <f t="shared" ca="1" si="58"/>
        <v>Ab</v>
      </c>
      <c r="N160" s="1" t="str">
        <f t="shared" ca="1" si="59"/>
        <v>C</v>
      </c>
      <c r="O160" s="1" t="str">
        <f t="shared" ca="1" si="60"/>
        <v>AbCF</v>
      </c>
    </row>
    <row r="161" spans="1:15">
      <c r="A161" s="1" t="s">
        <v>65</v>
      </c>
      <c r="B161" s="1">
        <v>11</v>
      </c>
      <c r="C161" s="1" t="s">
        <v>95</v>
      </c>
      <c r="D161" s="1">
        <v>6</v>
      </c>
      <c r="E161" s="1">
        <f t="shared" ca="1" si="50"/>
        <v>8</v>
      </c>
      <c r="F161" s="1">
        <f t="shared" ca="1" si="51"/>
        <v>0</v>
      </c>
      <c r="G161" s="1">
        <f t="shared" ca="1" si="52"/>
        <v>3</v>
      </c>
      <c r="H161" s="1" t="str">
        <f t="shared" ca="1" si="53"/>
        <v>F#</v>
      </c>
      <c r="I161" s="1" t="str">
        <f t="shared" ca="1" si="54"/>
        <v>A#</v>
      </c>
      <c r="J161" s="1" t="str">
        <f t="shared" ca="1" si="55"/>
        <v>C#</v>
      </c>
      <c r="K161" s="1" t="str">
        <f t="shared" ca="1" si="56"/>
        <v>A#C#F#</v>
      </c>
      <c r="L161" s="1" t="str">
        <f t="shared" ca="1" si="57"/>
        <v>Gb</v>
      </c>
      <c r="M161" s="1" t="str">
        <f t="shared" ca="1" si="58"/>
        <v>Bb</v>
      </c>
      <c r="N161" s="1" t="str">
        <f t="shared" ca="1" si="59"/>
        <v>Db</v>
      </c>
      <c r="O161" s="1" t="str">
        <f t="shared" ca="1" si="60"/>
        <v>BbDbGb</v>
      </c>
    </row>
    <row r="162" spans="1:15">
      <c r="A162" s="1" t="s">
        <v>65</v>
      </c>
      <c r="B162" s="1">
        <v>11</v>
      </c>
      <c r="C162" s="1" t="s">
        <v>95</v>
      </c>
      <c r="D162" s="1">
        <v>7</v>
      </c>
      <c r="E162" s="1">
        <f t="shared" ca="1" si="50"/>
        <v>10</v>
      </c>
      <c r="F162" s="1">
        <f t="shared" ca="1" si="51"/>
        <v>2</v>
      </c>
      <c r="G162" s="1">
        <f t="shared" ca="1" si="52"/>
        <v>5</v>
      </c>
      <c r="H162" s="1" t="str">
        <f t="shared" ca="1" si="53"/>
        <v>G#</v>
      </c>
      <c r="I162" s="1" t="str">
        <f t="shared" ca="1" si="54"/>
        <v>C</v>
      </c>
      <c r="J162" s="1" t="str">
        <f t="shared" ca="1" si="55"/>
        <v>D#</v>
      </c>
      <c r="K162" s="1" t="str">
        <f t="shared" ca="1" si="56"/>
        <v>CD#G#</v>
      </c>
      <c r="L162" s="1" t="str">
        <f t="shared" ca="1" si="57"/>
        <v>Ab</v>
      </c>
      <c r="M162" s="1" t="str">
        <f t="shared" ca="1" si="58"/>
        <v>C</v>
      </c>
      <c r="N162" s="1" t="str">
        <f t="shared" ca="1" si="59"/>
        <v>Eb</v>
      </c>
      <c r="O162" s="1" t="str">
        <f t="shared" ca="1" si="60"/>
        <v>AbCEb</v>
      </c>
    </row>
    <row r="163" spans="1:15">
      <c r="A163" s="1" t="s">
        <v>66</v>
      </c>
      <c r="B163" s="1">
        <v>12</v>
      </c>
      <c r="C163" s="1" t="s">
        <v>95</v>
      </c>
      <c r="D163" s="1">
        <v>1</v>
      </c>
      <c r="E163" s="1">
        <f t="shared" ca="1" si="50"/>
        <v>0</v>
      </c>
      <c r="F163" s="1">
        <f t="shared" ca="1" si="51"/>
        <v>3</v>
      </c>
      <c r="G163" s="1">
        <f t="shared" ca="1" si="52"/>
        <v>7</v>
      </c>
      <c r="H163" s="1" t="str">
        <f t="shared" ca="1" si="53"/>
        <v>B</v>
      </c>
      <c r="I163" s="1" t="str">
        <f t="shared" ca="1" si="54"/>
        <v>D</v>
      </c>
      <c r="J163" s="1" t="str">
        <f t="shared" ca="1" si="55"/>
        <v>F#</v>
      </c>
      <c r="K163" s="1" t="str">
        <f t="shared" ca="1" si="56"/>
        <v>BDF#</v>
      </c>
      <c r="L163" s="1" t="str">
        <f t="shared" ca="1" si="57"/>
        <v>B</v>
      </c>
      <c r="M163" s="1" t="str">
        <f t="shared" ca="1" si="58"/>
        <v>D</v>
      </c>
      <c r="N163" s="1" t="str">
        <f t="shared" ca="1" si="59"/>
        <v>Gb</v>
      </c>
      <c r="O163" s="1" t="str">
        <f t="shared" ca="1" si="60"/>
        <v>BDGb</v>
      </c>
    </row>
    <row r="164" spans="1:15">
      <c r="A164" s="1" t="s">
        <v>66</v>
      </c>
      <c r="B164" s="1">
        <v>12</v>
      </c>
      <c r="C164" s="1" t="s">
        <v>95</v>
      </c>
      <c r="D164" s="1">
        <v>2</v>
      </c>
      <c r="E164" s="1">
        <f t="shared" ca="1" si="50"/>
        <v>2</v>
      </c>
      <c r="F164" s="1">
        <f t="shared" ca="1" si="51"/>
        <v>5</v>
      </c>
      <c r="G164" s="1">
        <f t="shared" ca="1" si="52"/>
        <v>8</v>
      </c>
      <c r="H164" s="1" t="str">
        <f t="shared" ca="1" si="53"/>
        <v>C#</v>
      </c>
      <c r="I164" s="1" t="str">
        <f t="shared" ca="1" si="54"/>
        <v>E</v>
      </c>
      <c r="J164" s="1" t="str">
        <f t="shared" ca="1" si="55"/>
        <v>G</v>
      </c>
      <c r="K164" s="1" t="str">
        <f t="shared" ca="1" si="56"/>
        <v>C#EG</v>
      </c>
      <c r="L164" s="1" t="str">
        <f t="shared" ca="1" si="57"/>
        <v>Db</v>
      </c>
      <c r="M164" s="1" t="str">
        <f t="shared" ca="1" si="58"/>
        <v>E</v>
      </c>
      <c r="N164" s="1" t="str">
        <f t="shared" ca="1" si="59"/>
        <v>G</v>
      </c>
      <c r="O164" s="1" t="str">
        <f t="shared" ca="1" si="60"/>
        <v>DbEG</v>
      </c>
    </row>
    <row r="165" spans="1:15">
      <c r="A165" s="1" t="s">
        <v>66</v>
      </c>
      <c r="B165" s="1">
        <v>12</v>
      </c>
      <c r="C165" s="1" t="s">
        <v>95</v>
      </c>
      <c r="D165" s="1">
        <v>3</v>
      </c>
      <c r="E165" s="1">
        <f t="shared" ca="1" si="50"/>
        <v>3</v>
      </c>
      <c r="F165" s="1">
        <f t="shared" ca="1" si="51"/>
        <v>7</v>
      </c>
      <c r="G165" s="1">
        <f t="shared" ca="1" si="52"/>
        <v>10</v>
      </c>
      <c r="H165" s="1" t="str">
        <f t="shared" ca="1" si="53"/>
        <v>D</v>
      </c>
      <c r="I165" s="1" t="str">
        <f t="shared" ca="1" si="54"/>
        <v>F#</v>
      </c>
      <c r="J165" s="1" t="str">
        <f t="shared" ca="1" si="55"/>
        <v>A</v>
      </c>
      <c r="K165" s="1" t="str">
        <f t="shared" ca="1" si="56"/>
        <v>ADF#</v>
      </c>
      <c r="L165" s="1" t="str">
        <f t="shared" ca="1" si="57"/>
        <v>D</v>
      </c>
      <c r="M165" s="1" t="str">
        <f t="shared" ca="1" si="58"/>
        <v>Gb</v>
      </c>
      <c r="N165" s="1" t="str">
        <f t="shared" ca="1" si="59"/>
        <v>A</v>
      </c>
      <c r="O165" s="1" t="str">
        <f t="shared" ca="1" si="60"/>
        <v>ADGb</v>
      </c>
    </row>
    <row r="166" spans="1:15">
      <c r="A166" s="1" t="s">
        <v>66</v>
      </c>
      <c r="B166" s="1">
        <v>12</v>
      </c>
      <c r="C166" s="1" t="s">
        <v>95</v>
      </c>
      <c r="D166" s="1">
        <v>4</v>
      </c>
      <c r="E166" s="1">
        <f t="shared" ca="1" si="50"/>
        <v>5</v>
      </c>
      <c r="F166" s="1">
        <f t="shared" ca="1" si="51"/>
        <v>8</v>
      </c>
      <c r="G166" s="1">
        <f t="shared" ca="1" si="52"/>
        <v>0</v>
      </c>
      <c r="H166" s="1" t="str">
        <f t="shared" ca="1" si="53"/>
        <v>E</v>
      </c>
      <c r="I166" s="1" t="str">
        <f t="shared" ca="1" si="54"/>
        <v>G</v>
      </c>
      <c r="J166" s="1" t="str">
        <f t="shared" ca="1" si="55"/>
        <v>B</v>
      </c>
      <c r="K166" s="1" t="str">
        <f t="shared" ca="1" si="56"/>
        <v>BEG</v>
      </c>
      <c r="L166" s="1" t="str">
        <f t="shared" ca="1" si="57"/>
        <v>E</v>
      </c>
      <c r="M166" s="1" t="str">
        <f t="shared" ca="1" si="58"/>
        <v>G</v>
      </c>
      <c r="N166" s="1" t="str">
        <f t="shared" ca="1" si="59"/>
        <v>B</v>
      </c>
      <c r="O166" s="1" t="str">
        <f t="shared" ca="1" si="60"/>
        <v>BEG</v>
      </c>
    </row>
    <row r="167" spans="1:15">
      <c r="A167" s="1" t="s">
        <v>66</v>
      </c>
      <c r="B167" s="1">
        <v>12</v>
      </c>
      <c r="C167" s="1" t="s">
        <v>95</v>
      </c>
      <c r="D167" s="1">
        <v>5</v>
      </c>
      <c r="E167" s="1">
        <f t="shared" ca="1" si="50"/>
        <v>7</v>
      </c>
      <c r="F167" s="1">
        <f t="shared" ca="1" si="51"/>
        <v>10</v>
      </c>
      <c r="G167" s="1">
        <f t="shared" ca="1" si="52"/>
        <v>2</v>
      </c>
      <c r="H167" s="1" t="str">
        <f t="shared" ca="1" si="53"/>
        <v>F#</v>
      </c>
      <c r="I167" s="1" t="str">
        <f t="shared" ca="1" si="54"/>
        <v>A</v>
      </c>
      <c r="J167" s="1" t="str">
        <f t="shared" ca="1" si="55"/>
        <v>C#</v>
      </c>
      <c r="K167" s="1" t="str">
        <f t="shared" ca="1" si="56"/>
        <v>AC#F#</v>
      </c>
      <c r="L167" s="1" t="str">
        <f t="shared" ca="1" si="57"/>
        <v>Gb</v>
      </c>
      <c r="M167" s="1" t="str">
        <f t="shared" ca="1" si="58"/>
        <v>A</v>
      </c>
      <c r="N167" s="1" t="str">
        <f t="shared" ca="1" si="59"/>
        <v>Db</v>
      </c>
      <c r="O167" s="1" t="str">
        <f t="shared" ca="1" si="60"/>
        <v>ADbGb</v>
      </c>
    </row>
    <row r="168" spans="1:15">
      <c r="A168" s="1" t="s">
        <v>66</v>
      </c>
      <c r="B168" s="1">
        <v>12</v>
      </c>
      <c r="C168" s="1" t="s">
        <v>95</v>
      </c>
      <c r="D168" s="1">
        <v>6</v>
      </c>
      <c r="E168" s="1">
        <f t="shared" ca="1" si="50"/>
        <v>8</v>
      </c>
      <c r="F168" s="1">
        <f t="shared" ca="1" si="51"/>
        <v>0</v>
      </c>
      <c r="G168" s="1">
        <f t="shared" ca="1" si="52"/>
        <v>3</v>
      </c>
      <c r="H168" s="1" t="str">
        <f t="shared" ca="1" si="53"/>
        <v>G</v>
      </c>
      <c r="I168" s="1" t="str">
        <f t="shared" ca="1" si="54"/>
        <v>B</v>
      </c>
      <c r="J168" s="1" t="str">
        <f t="shared" ca="1" si="55"/>
        <v>D</v>
      </c>
      <c r="K168" s="1" t="str">
        <f t="shared" ca="1" si="56"/>
        <v>BDG</v>
      </c>
      <c r="L168" s="1" t="str">
        <f t="shared" ca="1" si="57"/>
        <v>G</v>
      </c>
      <c r="M168" s="1" t="str">
        <f t="shared" ca="1" si="58"/>
        <v>B</v>
      </c>
      <c r="N168" s="1" t="str">
        <f t="shared" ca="1" si="59"/>
        <v>D</v>
      </c>
      <c r="O168" s="1" t="str">
        <f t="shared" ca="1" si="60"/>
        <v>BDG</v>
      </c>
    </row>
    <row r="169" spans="1:15">
      <c r="A169" s="1" t="s">
        <v>66</v>
      </c>
      <c r="B169" s="1">
        <v>12</v>
      </c>
      <c r="C169" s="1" t="s">
        <v>95</v>
      </c>
      <c r="D169" s="1">
        <v>7</v>
      </c>
      <c r="E169" s="1">
        <f t="shared" ca="1" si="50"/>
        <v>10</v>
      </c>
      <c r="F169" s="1">
        <f t="shared" ca="1" si="51"/>
        <v>2</v>
      </c>
      <c r="G169" s="1">
        <f t="shared" ca="1" si="52"/>
        <v>5</v>
      </c>
      <c r="H169" s="1" t="str">
        <f t="shared" ca="1" si="53"/>
        <v>A</v>
      </c>
      <c r="I169" s="1" t="str">
        <f t="shared" ca="1" si="54"/>
        <v>C#</v>
      </c>
      <c r="J169" s="1" t="str">
        <f t="shared" ca="1" si="55"/>
        <v>E</v>
      </c>
      <c r="K169" s="1" t="str">
        <f t="shared" ca="1" si="56"/>
        <v>AC#E</v>
      </c>
      <c r="L169" s="1" t="str">
        <f t="shared" ca="1" si="57"/>
        <v>A</v>
      </c>
      <c r="M169" s="1" t="str">
        <f t="shared" ca="1" si="58"/>
        <v>Db</v>
      </c>
      <c r="N169" s="1" t="str">
        <f t="shared" ca="1" si="59"/>
        <v>E</v>
      </c>
      <c r="O169" s="1" t="str">
        <f t="shared" ca="1" si="60"/>
        <v>ADbE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C8"/>
  <sheetViews>
    <sheetView workbookViewId="0"/>
  </sheetViews>
  <sheetFormatPr defaultRowHeight="16.5"/>
  <cols>
    <col min="1" max="1" width="6.140625" style="1" bestFit="1" customWidth="1"/>
    <col min="2" max="2" width="14.28515625" style="1" bestFit="1" customWidth="1"/>
    <col min="3" max="16384" width="9.140625" style="1"/>
  </cols>
  <sheetData>
    <row r="1" spans="1:3">
      <c r="A1" s="1" t="s">
        <v>81</v>
      </c>
      <c r="B1" s="1" t="s">
        <v>93</v>
      </c>
      <c r="C1" s="1" t="s">
        <v>94</v>
      </c>
    </row>
    <row r="2" spans="1:3">
      <c r="A2" s="1">
        <v>1</v>
      </c>
      <c r="B2" s="1">
        <v>0</v>
      </c>
      <c r="C2" s="1">
        <v>0</v>
      </c>
    </row>
    <row r="3" spans="1:3">
      <c r="A3" s="1">
        <v>2</v>
      </c>
      <c r="B3" s="1">
        <v>2</v>
      </c>
      <c r="C3" s="1">
        <v>2</v>
      </c>
    </row>
    <row r="4" spans="1:3">
      <c r="A4" s="1">
        <v>3</v>
      </c>
      <c r="B4" s="1">
        <v>4</v>
      </c>
      <c r="C4" s="1">
        <v>3</v>
      </c>
    </row>
    <row r="5" spans="1:3">
      <c r="A5" s="1">
        <v>4</v>
      </c>
      <c r="B5" s="1">
        <v>5</v>
      </c>
      <c r="C5" s="1">
        <v>5</v>
      </c>
    </row>
    <row r="6" spans="1:3">
      <c r="A6" s="1">
        <v>5</v>
      </c>
      <c r="B6" s="1">
        <v>7</v>
      </c>
      <c r="C6" s="1">
        <v>7</v>
      </c>
    </row>
    <row r="7" spans="1:3">
      <c r="A7" s="1">
        <v>6</v>
      </c>
      <c r="B7" s="1">
        <v>9</v>
      </c>
      <c r="C7" s="1">
        <v>8</v>
      </c>
    </row>
    <row r="8" spans="1:3">
      <c r="A8" s="1">
        <v>7</v>
      </c>
      <c r="B8" s="1">
        <v>11</v>
      </c>
      <c r="C8" s="1">
        <v>10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13"/>
  <sheetViews>
    <sheetView workbookViewId="0"/>
  </sheetViews>
  <sheetFormatPr defaultRowHeight="16.5"/>
  <cols>
    <col min="1" max="1" width="15.140625" style="1" bestFit="1" customWidth="1"/>
    <col min="2" max="2" width="20.42578125" style="1" bestFit="1" customWidth="1"/>
    <col min="3" max="3" width="17.5703125" style="1" bestFit="1" customWidth="1"/>
    <col min="4" max="16384" width="9.140625" style="1"/>
  </cols>
  <sheetData>
    <row r="1" spans="1:3">
      <c r="A1" s="1" t="s">
        <v>82</v>
      </c>
      <c r="B1" s="1" t="s">
        <v>83</v>
      </c>
      <c r="C1" s="1" t="s">
        <v>84</v>
      </c>
    </row>
    <row r="2" spans="1:3">
      <c r="A2" s="1">
        <v>1</v>
      </c>
      <c r="B2" s="1" t="s">
        <v>53</v>
      </c>
      <c r="C2" s="1" t="s">
        <v>53</v>
      </c>
    </row>
    <row r="3" spans="1:3">
      <c r="A3" s="1">
        <v>2</v>
      </c>
      <c r="B3" s="1" t="s">
        <v>54</v>
      </c>
      <c r="C3" s="1" t="s">
        <v>77</v>
      </c>
    </row>
    <row r="4" spans="1:3">
      <c r="A4" s="1">
        <v>3</v>
      </c>
      <c r="B4" s="1" t="s">
        <v>55</v>
      </c>
      <c r="C4" s="1" t="s">
        <v>55</v>
      </c>
    </row>
    <row r="5" spans="1:3">
      <c r="A5" s="1">
        <v>4</v>
      </c>
      <c r="B5" s="1" t="s">
        <v>70</v>
      </c>
      <c r="C5" s="1" t="s">
        <v>57</v>
      </c>
    </row>
    <row r="6" spans="1:3">
      <c r="A6" s="1">
        <v>5</v>
      </c>
      <c r="B6" s="1" t="s">
        <v>56</v>
      </c>
      <c r="C6" s="1" t="s">
        <v>56</v>
      </c>
    </row>
    <row r="7" spans="1:3">
      <c r="A7" s="1">
        <v>6</v>
      </c>
      <c r="B7" s="1" t="s">
        <v>60</v>
      </c>
      <c r="C7" s="1" t="s">
        <v>60</v>
      </c>
    </row>
    <row r="8" spans="1:3">
      <c r="A8" s="1">
        <v>7</v>
      </c>
      <c r="B8" s="1" t="s">
        <v>71</v>
      </c>
      <c r="C8" s="1" t="s">
        <v>78</v>
      </c>
    </row>
    <row r="9" spans="1:3">
      <c r="A9" s="1">
        <v>8</v>
      </c>
      <c r="B9" s="1" t="s">
        <v>62</v>
      </c>
      <c r="C9" s="1" t="s">
        <v>62</v>
      </c>
    </row>
    <row r="10" spans="1:3">
      <c r="A10" s="1">
        <v>9</v>
      </c>
      <c r="B10" s="1" t="s">
        <v>72</v>
      </c>
      <c r="C10" s="1" t="s">
        <v>79</v>
      </c>
    </row>
    <row r="11" spans="1:3">
      <c r="A11" s="1">
        <v>10</v>
      </c>
      <c r="B11" s="1" t="s">
        <v>64</v>
      </c>
      <c r="C11" s="1" t="s">
        <v>64</v>
      </c>
    </row>
    <row r="12" spans="1:3">
      <c r="A12" s="1">
        <v>11</v>
      </c>
      <c r="B12" s="1" t="s">
        <v>73</v>
      </c>
      <c r="C12" s="1" t="s">
        <v>80</v>
      </c>
    </row>
    <row r="13" spans="1:3">
      <c r="A13" s="1">
        <v>12</v>
      </c>
      <c r="B13" s="1" t="s">
        <v>66</v>
      </c>
      <c r="C13" s="1" t="s">
        <v>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Score</vt:lpstr>
      <vt:lpstr>Chords</vt:lpstr>
      <vt:lpstr>Scales</vt:lpstr>
      <vt:lpstr>Pitch classes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2015-01-25T14:52:12Z</dcterms:modified>
</cp:coreProperties>
</file>